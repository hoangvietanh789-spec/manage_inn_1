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-2026" sheetId="1" r:id="rId4"/>
    <sheet state="hidden" name="02-2026" sheetId="2" r:id="rId5"/>
    <sheet state="hidden" name="01-2026" sheetId="3" r:id="rId6"/>
    <sheet state="hidden" name="12-2025" sheetId="4" r:id="rId7"/>
    <sheet state="hidden" name="11-2025" sheetId="5" r:id="rId8"/>
    <sheet state="hidden" name="10-2025" sheetId="6" r:id="rId9"/>
    <sheet state="hidden" name="09-2025" sheetId="7" r:id="rId10"/>
    <sheet state="hidden" name="08-2025" sheetId="8" r:id="rId11"/>
    <sheet state="hidden" name="07-2025" sheetId="9" r:id="rId12"/>
    <sheet state="hidden" name="06-2025" sheetId="10" r:id="rId13"/>
    <sheet state="hidden" name="05-2025" sheetId="11" r:id="rId14"/>
    <sheet state="hidden" name="04-2025" sheetId="12" r:id="rId15"/>
    <sheet state="hidden" name="03-2025" sheetId="13" r:id="rId16"/>
    <sheet state="hidden" name="02-2025" sheetId="14" r:id="rId17"/>
    <sheet state="hidden" name="01-2025" sheetId="15" r:id="rId18"/>
    <sheet state="hidden" name="12-2024 " sheetId="16" r:id="rId19"/>
    <sheet state="hidden" name="11-2024" sheetId="17" r:id="rId20"/>
    <sheet state="hidden" name="10-2024" sheetId="18" r:id="rId21"/>
    <sheet state="hidden" name="Sheet1" sheetId="19" r:id="rId22"/>
  </sheets>
  <definedNames/>
  <calcPr/>
  <extLst>
    <ext uri="GoogleSheetsCustomDataVersion2">
      <go:sheetsCustomData xmlns:go="http://customooxmlschemas.google.com/" r:id="rId23" roundtripDataChecksum="zX5Or4OjXbm3k3AdTn2YwQqUaPawA1QguzJAUobk5/c="/>
    </ext>
  </extLst>
</workbook>
</file>

<file path=xl/sharedStrings.xml><?xml version="1.0" encoding="utf-8"?>
<sst xmlns="http://schemas.openxmlformats.org/spreadsheetml/2006/main" count="444" uniqueCount="175">
  <si>
    <t>Gốc lãi vay (lãi đến hạn)</t>
  </si>
  <si>
    <t>Ngày</t>
  </si>
  <si>
    <t>Nội dung</t>
  </si>
  <si>
    <t>Chi thấu chi tạm</t>
  </si>
  <si>
    <t>Hoàn thấu chi tạm</t>
  </si>
  <si>
    <t>Tồn</t>
  </si>
  <si>
    <t>Chi khác Nội dung</t>
  </si>
  <si>
    <t>Số tiền</t>
  </si>
  <si>
    <t>Thấu chi nợ Nội dung</t>
  </si>
  <si>
    <t>Lãi thấu chi 600tr</t>
  </si>
  <si>
    <t>Tổng</t>
  </si>
  <si>
    <t>Lãi thấu chi có ts</t>
  </si>
  <si>
    <t>01/03/2026</t>
  </si>
  <si>
    <t>Vợ ck</t>
  </si>
  <si>
    <t>04/03/2026</t>
  </si>
  <si>
    <t>Bảo hiểm thấu chi</t>
  </si>
  <si>
    <t>Thưởng KPI</t>
  </si>
  <si>
    <t>Chi khác</t>
  </si>
  <si>
    <t>02/03/2026</t>
  </si>
  <si>
    <t>Sữa</t>
  </si>
  <si>
    <t>05/03/2026</t>
  </si>
  <si>
    <t>Trả lãi thấu chi</t>
  </si>
  <si>
    <t>Từ vợ</t>
  </si>
  <si>
    <t>quà 8/3 cao học</t>
  </si>
  <si>
    <t>Từ trọ Xh</t>
  </si>
  <si>
    <t>Lương</t>
  </si>
  <si>
    <t>Thưởng</t>
  </si>
  <si>
    <t>Bà trả</t>
  </si>
  <si>
    <t>Chênh</t>
  </si>
  <si>
    <t>Trả gốc vay</t>
  </si>
  <si>
    <t>Gốc cần trả hàng tháng</t>
  </si>
  <si>
    <t>Trả thấu chi</t>
  </si>
  <si>
    <t>Sau trả</t>
  </si>
  <si>
    <t>Đầu kỳ</t>
  </si>
  <si>
    <t>Dư nợ ban đầu (T10)</t>
  </si>
  <si>
    <t>Đã trả</t>
  </si>
  <si>
    <t>Vay</t>
  </si>
  <si>
    <t>Thấu chi</t>
  </si>
  <si>
    <t>Tổng dư nợ</t>
  </si>
  <si>
    <t>Lãi suất</t>
  </si>
  <si>
    <t>Ngày vay</t>
  </si>
  <si>
    <t>Bà vay</t>
  </si>
  <si>
    <t xml:space="preserve"> </t>
  </si>
  <si>
    <t>01/02/2026</t>
  </si>
  <si>
    <t>rằm</t>
  </si>
  <si>
    <t>sửa chữa trung tự</t>
  </si>
  <si>
    <t>03/02/2026</t>
  </si>
  <si>
    <t>Tiền mới</t>
  </si>
  <si>
    <t>04/02/2026</t>
  </si>
  <si>
    <t>200k mới</t>
  </si>
  <si>
    <t>Hoàn tiền đổi lẻ</t>
  </si>
  <si>
    <t>Luận văn</t>
  </si>
  <si>
    <t>Ứng lương</t>
  </si>
  <si>
    <t>Rút tiền mặt</t>
  </si>
  <si>
    <t>Hoàn tiền mới</t>
  </si>
  <si>
    <t>Sn mẹ</t>
  </si>
  <si>
    <t>13/02/2026</t>
  </si>
  <si>
    <t>sửa xe oto</t>
  </si>
  <si>
    <t>15/02/2026</t>
  </si>
  <si>
    <t>đổ xăng</t>
  </si>
  <si>
    <t>20/02/2026</t>
  </si>
  <si>
    <t>22/02/2026</t>
  </si>
  <si>
    <t>25/02/2026</t>
  </si>
  <si>
    <t>mua bạc</t>
  </si>
  <si>
    <t>hoantien_overdraft_unsecured</t>
  </si>
  <si>
    <t>Hoàn tiền trước tết đã ứng tiền mặt</t>
  </si>
  <si>
    <t>Xem phim</t>
  </si>
  <si>
    <t>Đồ cầu lông</t>
  </si>
  <si>
    <t>02/01/2026</t>
  </si>
  <si>
    <t>Gửi xe ô tô</t>
  </si>
  <si>
    <t>04/01/2026</t>
  </si>
  <si>
    <t>chichung_Mua sữa</t>
  </si>
  <si>
    <t>05/01/2026</t>
  </si>
  <si>
    <t>Ứng trả lãi</t>
  </si>
  <si>
    <t>16/01/2026</t>
  </si>
  <si>
    <t>chichung_Xem phim</t>
  </si>
  <si>
    <t>08/01/2026</t>
  </si>
  <si>
    <t>Tiêu</t>
  </si>
  <si>
    <t>18/01/2026</t>
  </si>
  <si>
    <t>chichung_Xăng</t>
  </si>
  <si>
    <t>09/01/2026</t>
  </si>
  <si>
    <t>Rút để phong bì</t>
  </si>
  <si>
    <t>19/01/2026</t>
  </si>
  <si>
    <t>chichung_sạc</t>
  </si>
  <si>
    <t>07/01/2026</t>
  </si>
  <si>
    <t>Ứng thưởng + bà trả</t>
  </si>
  <si>
    <t>25/01/2026</t>
  </si>
  <si>
    <t>xăng</t>
  </si>
  <si>
    <t>Hoàn tiền phong bì</t>
  </si>
  <si>
    <t>Mua sâm biếu các cụ</t>
  </si>
  <si>
    <t>15/01/2026</t>
  </si>
  <si>
    <t>ungtien_Ứng lương</t>
  </si>
  <si>
    <t>26/01/2026</t>
  </si>
  <si>
    <t>trả tiền ứng trả lãi</t>
  </si>
  <si>
    <t>Trả tiền tiêu vặt</t>
  </si>
  <si>
    <t>29/01/2026</t>
  </si>
  <si>
    <t>Mạng hà nội</t>
  </si>
  <si>
    <t>Trả gốc vay (01/01 18tr + 1tr 26/01, 6tr từ trọ)</t>
  </si>
  <si>
    <t>Tiền gạo Tuấn Tùng</t>
  </si>
  <si>
    <t>Ứng từ tiền bà gửi, trích trước lương 4tr</t>
  </si>
  <si>
    <t>Bảo hiểm TNDS ô tô</t>
  </si>
  <si>
    <t>Chú trả</t>
  </si>
  <si>
    <t>Ngày trả</t>
  </si>
  <si>
    <t>Lãi</t>
  </si>
  <si>
    <t>Vé xe</t>
  </si>
  <si>
    <t>Vé xe + thanh toán tiền thông tắc</t>
  </si>
  <si>
    <t>Chú vay</t>
  </si>
  <si>
    <t>Mua thuốc</t>
  </si>
  <si>
    <t>Cafe</t>
  </si>
  <si>
    <t>Mua chỉ</t>
  </si>
  <si>
    <t>Hoàng lương + tiền bà</t>
  </si>
  <si>
    <t>Trả tiền lặt vặt</t>
  </si>
  <si>
    <t>Gốc lãi vay</t>
  </si>
  <si>
    <t>Bảo dưỡng ô tô</t>
  </si>
  <si>
    <t>Điện thoại</t>
  </si>
  <si>
    <t>Chú vay đặt cọc</t>
  </si>
  <si>
    <t>Bà trả, tạm ứng thấu chi</t>
  </si>
  <si>
    <t>Quà 20/11</t>
  </si>
  <si>
    <t>Hoàn quà 20/11</t>
  </si>
  <si>
    <t xml:space="preserve">Vợ cho vay </t>
  </si>
  <si>
    <t>Trả nợ 100tr, bà gửi 200tr</t>
  </si>
  <si>
    <t>Ứng tiền để trả lãi</t>
  </si>
  <si>
    <t>Xăng</t>
  </si>
  <si>
    <t>Chuyển cho bà 200tr tiền vay lâu dài, 100 triệu tiền vay ngắn hạn, 200tr bà chuyển hôm trước</t>
  </si>
  <si>
    <t>Ứng tiền bồi dưỡng NH</t>
  </si>
  <si>
    <t>Cho chú vay duy trì số dư</t>
  </si>
  <si>
    <t>Hoàn tiền ứng trả lãi, bù trừ phần tiền bà ứng và ứng lương kỳ 1</t>
  </si>
  <si>
    <t>Bà ck</t>
  </si>
  <si>
    <t>Lãi thấu chi 3ty2</t>
  </si>
  <si>
    <t>Trả nợ lãi vay</t>
  </si>
  <si>
    <t>Lãi vay nóng</t>
  </si>
  <si>
    <t>Công chứng</t>
  </si>
  <si>
    <t>Ck lãi của bà T8</t>
  </si>
  <si>
    <t>Hoàn thưởng</t>
  </si>
  <si>
    <t>vetc</t>
  </si>
  <si>
    <t>Hoàn lương</t>
  </si>
  <si>
    <t>Dư nợ hiện tại</t>
  </si>
  <si>
    <t>Dư nợ sau khi trả</t>
  </si>
  <si>
    <t>Sửa bồn rửa</t>
  </si>
  <si>
    <t>Lõi lọc nước</t>
  </si>
  <si>
    <t xml:space="preserve">Trả thấu chi </t>
  </si>
  <si>
    <t>Hoàn</t>
  </si>
  <si>
    <t>Mạng Hà Nội</t>
  </si>
  <si>
    <t>Bảo hiểm thấu chi 600tr</t>
  </si>
  <si>
    <t xml:space="preserve">                                                                                                                                    </t>
  </si>
  <si>
    <t>Bảo dưỡng máy giặt</t>
  </si>
  <si>
    <t>Sâm + gốc lãi</t>
  </si>
  <si>
    <t>Lãi thấu chi 300tr</t>
  </si>
  <si>
    <t xml:space="preserve">Tiền thiệp cưới </t>
  </si>
  <si>
    <t>Lò vi sóng</t>
  </si>
  <si>
    <t>Bảo hiểm + gốc lãi</t>
  </si>
  <si>
    <t>Thêm giờ</t>
  </si>
  <si>
    <t>ky 1</t>
  </si>
  <si>
    <t xml:space="preserve">rut tra </t>
  </si>
  <si>
    <t>quyết toán</t>
  </si>
  <si>
    <t>lẩu</t>
  </si>
  <si>
    <t>Máy bơm</t>
  </si>
  <si>
    <t>phở</t>
  </si>
  <si>
    <t>tiền quà thắp hơn</t>
  </si>
  <si>
    <t>Quỹ công đoàn</t>
  </si>
  <si>
    <t>bún bò</t>
  </si>
  <si>
    <t xml:space="preserve">Quỹ nhóm </t>
  </si>
  <si>
    <t>tiền quà tết</t>
  </si>
  <si>
    <t>Tiền sửa nước</t>
  </si>
  <si>
    <t>Tiền xe về quê</t>
  </si>
  <si>
    <t>Gửi xe</t>
  </si>
  <si>
    <t>Tạm ứng</t>
  </si>
  <si>
    <t>Đi muộn</t>
  </si>
  <si>
    <t>28/10</t>
  </si>
  <si>
    <t>Lãi thấu chi 1ty8</t>
  </si>
  <si>
    <t>tạm ứng gốc lãi</t>
  </si>
  <si>
    <t>20/10</t>
  </si>
  <si>
    <t>tạm ứng gốc lãi lần 2</t>
  </si>
  <si>
    <t>29/10 cơm trưa vs đội a Tú</t>
  </si>
  <si>
    <t>Hải Hà trả vay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</si>
</sst>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#,##0;(#,##0)"/>
    <numFmt numFmtId="166" formatCode="dd/mm"/>
    <numFmt numFmtId="167" formatCode="dd/mm/yyyy"/>
    <numFmt numFmtId="168" formatCode="d/m/yyyy"/>
    <numFmt numFmtId="169" formatCode="d/m"/>
    <numFmt numFmtId="170" formatCode="0.000%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strike/>
      <sz val="11.0"/>
      <color theme="1"/>
      <name val="Calibri"/>
    </font>
    <font>
      <strike/>
      <color theme="1"/>
      <name val="Calibri"/>
    </font>
    <font>
      <sz val="11.0"/>
      <color rgb="FF1F1F1F"/>
      <name val="Monospace"/>
    </font>
    <font>
      <sz val="11.0"/>
      <color rgb="FF1F1F1F"/>
      <name val="Arial"/>
    </font>
    <font>
      <sz val="11.0"/>
      <color rgb="FFFF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43" xfId="0" applyBorder="1" applyFill="1" applyFont="1" applyNumberFormat="1"/>
    <xf borderId="1" fillId="2" fontId="1" numFmtId="3" xfId="0" applyBorder="1" applyFont="1" applyNumberFormat="1"/>
    <xf borderId="0" fillId="0" fontId="1" numFmtId="3" xfId="0" applyFont="1" applyNumberFormat="1"/>
    <xf borderId="0" fillId="0" fontId="1" numFmtId="0" xfId="0" applyFont="1"/>
    <xf borderId="0" fillId="0" fontId="1" numFmtId="164" xfId="0" applyFont="1" applyNumberFormat="1"/>
    <xf borderId="2" fillId="3" fontId="1" numFmtId="3" xfId="0" applyBorder="1" applyFill="1" applyFont="1" applyNumberFormat="1"/>
    <xf borderId="2" fillId="3" fontId="1" numFmtId="165" xfId="0" applyBorder="1" applyFont="1" applyNumberFormat="1"/>
    <xf borderId="2" fillId="4" fontId="1" numFmtId="3" xfId="0" applyBorder="1" applyFill="1" applyFont="1" applyNumberFormat="1"/>
    <xf borderId="2" fillId="3" fontId="2" numFmtId="3" xfId="0" applyBorder="1" applyFont="1" applyNumberFormat="1"/>
    <xf borderId="2" fillId="3" fontId="2" numFmtId="165" xfId="0" applyBorder="1" applyFont="1" applyNumberFormat="1"/>
    <xf borderId="2" fillId="4" fontId="2" numFmtId="3" xfId="0" applyBorder="1" applyFont="1" applyNumberFormat="1"/>
    <xf borderId="0" fillId="0" fontId="3" numFmtId="0" xfId="0" applyFont="1"/>
    <xf borderId="0" fillId="0" fontId="3" numFmtId="165" xfId="0" applyFont="1" applyNumberFormat="1"/>
    <xf borderId="0" fillId="0" fontId="1" numFmtId="43" xfId="0" applyFont="1" applyNumberFormat="1"/>
    <xf borderId="0" fillId="0" fontId="3" numFmtId="3" xfId="0" applyFont="1" applyNumberFormat="1"/>
    <xf borderId="0" fillId="0" fontId="3" numFmtId="164" xfId="0" applyFont="1" applyNumberFormat="1"/>
    <xf borderId="1" fillId="3" fontId="1" numFmtId="43" xfId="0" applyBorder="1" applyFont="1" applyNumberFormat="1"/>
    <xf borderId="1" fillId="3" fontId="1" numFmtId="3" xfId="0" applyBorder="1" applyFont="1" applyNumberFormat="1"/>
    <xf borderId="1" fillId="5" fontId="2" numFmtId="3" xfId="0" applyBorder="1" applyFill="1" applyFont="1" applyNumberFormat="1"/>
    <xf borderId="1" fillId="6" fontId="1" numFmtId="43" xfId="0" applyBorder="1" applyFill="1" applyFont="1" applyNumberFormat="1"/>
    <xf borderId="1" fillId="6" fontId="1" numFmtId="3" xfId="0" applyBorder="1" applyFont="1" applyNumberFormat="1"/>
    <xf borderId="0" fillId="0" fontId="3" numFmtId="166" xfId="0" applyFont="1" applyNumberFormat="1"/>
    <xf borderId="0" fillId="0" fontId="3" numFmtId="167" xfId="0" applyFont="1" applyNumberFormat="1"/>
    <xf borderId="1" fillId="6" fontId="1" numFmtId="0" xfId="0" applyBorder="1" applyFont="1"/>
    <xf borderId="1" fillId="6" fontId="1" numFmtId="3" xfId="0" applyAlignment="1" applyBorder="1" applyFont="1" applyNumberFormat="1">
      <alignment readingOrder="0"/>
    </xf>
    <xf borderId="1" fillId="7" fontId="1" numFmtId="43" xfId="0" applyBorder="1" applyFill="1" applyFont="1" applyNumberFormat="1"/>
    <xf borderId="1" fillId="7" fontId="2" numFmtId="3" xfId="0" applyBorder="1" applyFont="1" applyNumberFormat="1"/>
    <xf borderId="2" fillId="8" fontId="1" numFmtId="3" xfId="0" applyBorder="1" applyFill="1" applyFont="1" applyNumberFormat="1"/>
    <xf borderId="2" fillId="9" fontId="1" numFmtId="3" xfId="0" applyBorder="1" applyFill="1" applyFont="1" applyNumberFormat="1"/>
    <xf borderId="2" fillId="9" fontId="1" numFmtId="3" xfId="0" applyAlignment="1" applyBorder="1" applyFont="1" applyNumberFormat="1">
      <alignment readingOrder="0"/>
    </xf>
    <xf borderId="0" fillId="10" fontId="1" numFmtId="3" xfId="0" applyFill="1" applyFont="1" applyNumberFormat="1"/>
    <xf borderId="2" fillId="0" fontId="1" numFmtId="0" xfId="0" applyBorder="1" applyFont="1"/>
    <xf borderId="2" fillId="0" fontId="1" numFmtId="3" xfId="0" applyBorder="1" applyFont="1" applyNumberFormat="1"/>
    <xf borderId="2" fillId="4" fontId="1" numFmtId="0" xfId="0" applyBorder="1" applyFont="1"/>
    <xf borderId="2" fillId="4" fontId="2" numFmtId="0" xfId="0" applyBorder="1" applyFont="1"/>
    <xf borderId="0" fillId="0" fontId="1" numFmtId="4" xfId="0" applyFont="1" applyNumberFormat="1"/>
    <xf borderId="0" fillId="0" fontId="1" numFmtId="168" xfId="0" applyFont="1" applyNumberFormat="1"/>
    <xf borderId="0" fillId="0" fontId="4" numFmtId="168" xfId="0" applyFont="1" applyNumberFormat="1"/>
    <xf borderId="0" fillId="0" fontId="4" numFmtId="3" xfId="0" applyFont="1" applyNumberFormat="1"/>
    <xf borderId="0" fillId="0" fontId="1" numFmtId="165" xfId="0" applyFont="1" applyNumberFormat="1"/>
    <xf borderId="0" fillId="0" fontId="4" numFmtId="164" xfId="0" applyFont="1" applyNumberFormat="1"/>
    <xf borderId="0" fillId="0" fontId="5" numFmtId="0" xfId="0" applyFont="1"/>
    <xf borderId="0" fillId="0" fontId="5" numFmtId="3" xfId="0" applyFont="1" applyNumberFormat="1"/>
    <xf borderId="0" fillId="0" fontId="5" numFmtId="164" xfId="0" applyFont="1" applyNumberFormat="1"/>
    <xf borderId="0" fillId="0" fontId="5" numFmtId="166" xfId="0" applyFont="1" applyNumberFormat="1"/>
    <xf borderId="0" fillId="0" fontId="5" numFmtId="167" xfId="0" applyFont="1" applyNumberFormat="1"/>
    <xf borderId="0" fillId="0" fontId="4" numFmtId="0" xfId="0" applyFont="1"/>
    <xf borderId="0" fillId="0" fontId="4" numFmtId="4" xfId="0" applyFont="1" applyNumberFormat="1"/>
    <xf borderId="1" fillId="11" fontId="6" numFmtId="3" xfId="0" applyBorder="1" applyFill="1" applyFont="1" applyNumberFormat="1"/>
    <xf borderId="1" fillId="11" fontId="7" numFmtId="3" xfId="0" applyBorder="1" applyFont="1" applyNumberFormat="1"/>
    <xf borderId="0" fillId="0" fontId="1" numFmtId="169" xfId="0" applyFont="1" applyNumberFormat="1"/>
    <xf borderId="0" fillId="0" fontId="1" numFmtId="166" xfId="0" applyFont="1" applyNumberFormat="1"/>
    <xf borderId="1" fillId="12" fontId="8" numFmtId="169" xfId="0" applyBorder="1" applyFill="1" applyFont="1" applyNumberFormat="1"/>
    <xf borderId="1" fillId="12" fontId="8" numFmtId="0" xfId="0" applyBorder="1" applyFont="1"/>
    <xf borderId="1" fillId="12" fontId="8" numFmtId="3" xfId="0" applyBorder="1" applyFont="1" applyNumberFormat="1"/>
    <xf borderId="1" fillId="5" fontId="1" numFmtId="164" xfId="0" applyBorder="1" applyFont="1" applyNumberFormat="1"/>
    <xf borderId="0" fillId="0" fontId="1" numFmtId="43" xfId="0" applyAlignment="1" applyFont="1" applyNumberFormat="1">
      <alignment horizontal="left"/>
    </xf>
    <xf borderId="0" fillId="0" fontId="1" numFmtId="3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70" xfId="0" applyFont="1" applyNumberFormat="1"/>
    <xf borderId="1" fillId="13" fontId="1" numFmtId="3" xfId="0" applyBorder="1" applyFill="1" applyFont="1" applyNumberFormat="1"/>
    <xf borderId="0" fillId="0" fontId="1" numFmtId="164" xfId="0" applyAlignment="1" applyFont="1" applyNumberFormat="1">
      <alignment shrinkToFit="0" vertical="center" wrapText="1"/>
    </xf>
    <xf borderId="0" fillId="0" fontId="1" numFmtId="13" xfId="0" applyFont="1" applyNumberFormat="1"/>
    <xf quotePrefix="1" borderId="0" fillId="0" fontId="1" numFmtId="1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17</xdr:row>
      <xdr:rowOff>114300</xdr:rowOff>
    </xdr:from>
    <xdr:ext cx="2457450" cy="5457825"/>
    <xdr:pic>
      <xdr:nvPicPr>
        <xdr:cNvPr id="0" name="image1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4.43"/>
    <col customWidth="1" min="3" max="3" width="20.86"/>
    <col customWidth="1" min="4" max="4" width="18.71"/>
    <col customWidth="1" min="5" max="5" width="19.71"/>
    <col customWidth="1" min="6" max="6" width="11.29"/>
    <col customWidth="1" min="7" max="7" width="35.29"/>
    <col customWidth="1" min="8" max="8" width="15.0"/>
    <col customWidth="1" min="9" max="9" width="17.14"/>
    <col customWidth="1" min="10" max="10" width="12.43"/>
    <col customWidth="1" min="11" max="11" width="19.14"/>
    <col customWidth="1" min="12" max="12" width="17.14"/>
    <col customWidth="1" min="13" max="13" width="19.29"/>
    <col customWidth="1" min="14" max="14" width="17.14"/>
  </cols>
  <sheetData>
    <row r="1">
      <c r="A1" s="1" t="s">
        <v>0</v>
      </c>
      <c r="B1" s="2">
        <v>1231886.0</v>
      </c>
      <c r="C1" s="3">
        <v>16.0</v>
      </c>
      <c r="D1" s="4">
        <v>10.0</v>
      </c>
      <c r="E1" s="4"/>
      <c r="F1" s="4" t="s">
        <v>1</v>
      </c>
      <c r="G1" s="4" t="s">
        <v>2</v>
      </c>
      <c r="H1" s="5" t="s">
        <v>3</v>
      </c>
      <c r="I1" s="5" t="s">
        <v>4</v>
      </c>
      <c r="J1" s="4" t="s">
        <v>5</v>
      </c>
      <c r="K1" s="6" t="s">
        <v>6</v>
      </c>
      <c r="L1" s="7" t="s">
        <v>7</v>
      </c>
      <c r="M1" s="8" t="s">
        <v>8</v>
      </c>
      <c r="N1" s="8" t="s">
        <v>7</v>
      </c>
      <c r="O1" s="4"/>
      <c r="P1" s="4"/>
      <c r="Q1" s="4"/>
    </row>
    <row r="2">
      <c r="A2" s="1" t="s">
        <v>9</v>
      </c>
      <c r="B2" s="2"/>
      <c r="C2" s="3"/>
      <c r="D2" s="4"/>
      <c r="E2" s="4"/>
      <c r="F2" s="4"/>
      <c r="G2" s="3"/>
      <c r="H2" s="5">
        <f>Sum(H3:H8)</f>
        <v>-6901086</v>
      </c>
      <c r="I2" s="5">
        <f>Sum(I3:I5)</f>
        <v>115000000</v>
      </c>
      <c r="J2" s="3">
        <f t="shared" ref="J2:J3" si="1">I2+H2</f>
        <v>108098914</v>
      </c>
      <c r="K2" s="9" t="s">
        <v>10</v>
      </c>
      <c r="L2" s="10">
        <f>sum(L3:L10)</f>
        <v>0</v>
      </c>
      <c r="M2" s="11" t="s">
        <v>10</v>
      </c>
      <c r="N2" s="8">
        <f>sum(N3:N10)</f>
        <v>0</v>
      </c>
      <c r="O2" s="4"/>
      <c r="P2" s="4"/>
      <c r="Q2" s="4"/>
    </row>
    <row r="3">
      <c r="A3" s="1" t="s">
        <v>11</v>
      </c>
      <c r="B3" s="2"/>
      <c r="C3" s="3"/>
      <c r="D3" s="4"/>
      <c r="E3" s="4"/>
      <c r="F3" s="4" t="s">
        <v>12</v>
      </c>
      <c r="G3" s="3" t="s">
        <v>13</v>
      </c>
      <c r="H3" s="5"/>
      <c r="I3" s="5">
        <v>1.0E8</v>
      </c>
      <c r="J3" s="3">
        <f t="shared" si="1"/>
        <v>100000000</v>
      </c>
      <c r="K3" s="12"/>
      <c r="L3" s="13"/>
      <c r="M3" s="4"/>
      <c r="N3" s="3"/>
      <c r="O3" s="4"/>
      <c r="P3" s="4"/>
      <c r="Q3" s="4"/>
    </row>
    <row r="4">
      <c r="A4" s="14"/>
      <c r="B4" s="3"/>
      <c r="C4" s="3"/>
      <c r="D4" s="4"/>
      <c r="E4" s="4"/>
      <c r="F4" s="12" t="s">
        <v>14</v>
      </c>
      <c r="G4" s="15" t="s">
        <v>15</v>
      </c>
      <c r="H4" s="16">
        <v>-4200000.0</v>
      </c>
      <c r="I4" s="16"/>
      <c r="J4" s="15"/>
      <c r="K4" s="12"/>
      <c r="L4" s="13"/>
      <c r="M4" s="4"/>
      <c r="N4" s="3"/>
      <c r="O4" s="4"/>
      <c r="P4" s="4"/>
      <c r="Q4" s="4"/>
    </row>
    <row r="5">
      <c r="A5" s="14"/>
      <c r="B5" s="3"/>
      <c r="C5" s="3"/>
      <c r="D5" s="4"/>
      <c r="E5" s="4"/>
      <c r="F5" s="12" t="s">
        <v>14</v>
      </c>
      <c r="G5" s="15" t="s">
        <v>16</v>
      </c>
      <c r="H5" s="16"/>
      <c r="I5" s="16">
        <v>1.5E7</v>
      </c>
      <c r="J5" s="15"/>
      <c r="K5" s="12"/>
      <c r="L5" s="13"/>
      <c r="M5" s="4"/>
      <c r="N5" s="3"/>
      <c r="O5" s="4"/>
      <c r="P5" s="4"/>
      <c r="Q5" s="4"/>
    </row>
    <row r="6">
      <c r="A6" s="17" t="s">
        <v>17</v>
      </c>
      <c r="B6" s="18">
        <f>-L2</f>
        <v>0</v>
      </c>
      <c r="C6" s="3"/>
      <c r="D6" s="4"/>
      <c r="E6" s="4"/>
      <c r="F6" s="12" t="s">
        <v>18</v>
      </c>
      <c r="G6" s="15" t="s">
        <v>19</v>
      </c>
      <c r="H6" s="16">
        <v>-469200.0</v>
      </c>
      <c r="I6" s="16"/>
      <c r="J6" s="15"/>
      <c r="K6" s="12"/>
      <c r="L6" s="13"/>
      <c r="M6" s="4"/>
      <c r="N6" s="3"/>
      <c r="O6" s="4"/>
      <c r="P6" s="4"/>
      <c r="Q6" s="4"/>
    </row>
    <row r="7">
      <c r="A7" s="14"/>
      <c r="B7" s="19">
        <f>B6+SUM(B1:B3)</f>
        <v>1231886</v>
      </c>
      <c r="C7" s="3"/>
      <c r="D7" s="4"/>
      <c r="E7" s="4"/>
      <c r="F7" s="12" t="s">
        <v>20</v>
      </c>
      <c r="G7" s="15" t="s">
        <v>21</v>
      </c>
      <c r="H7" s="16">
        <v>-1231886.0</v>
      </c>
      <c r="I7" s="16"/>
      <c r="J7" s="12"/>
      <c r="K7" s="15"/>
      <c r="L7" s="16"/>
      <c r="M7" s="4"/>
      <c r="N7" s="3"/>
      <c r="O7" s="4"/>
      <c r="P7" s="4"/>
      <c r="Q7" s="4"/>
    </row>
    <row r="8">
      <c r="A8" s="20" t="s">
        <v>22</v>
      </c>
      <c r="B8" s="21"/>
      <c r="C8" s="3"/>
      <c r="D8" s="4"/>
      <c r="E8" s="4"/>
      <c r="F8" s="22" t="s">
        <v>20</v>
      </c>
      <c r="G8" s="15" t="s">
        <v>23</v>
      </c>
      <c r="H8" s="16">
        <v>-1000000.0</v>
      </c>
      <c r="I8" s="16"/>
      <c r="J8" s="23"/>
      <c r="K8" s="12"/>
      <c r="L8" s="16"/>
      <c r="M8" s="4"/>
      <c r="N8" s="3"/>
      <c r="O8" s="4"/>
      <c r="P8" s="4"/>
      <c r="Q8" s="4"/>
    </row>
    <row r="9">
      <c r="A9" s="24" t="s">
        <v>24</v>
      </c>
      <c r="B9" s="25">
        <v>1.6E7</v>
      </c>
      <c r="C9" s="3"/>
      <c r="D9" s="4"/>
      <c r="E9" s="4"/>
      <c r="F9" s="22"/>
      <c r="G9" s="12"/>
      <c r="H9" s="16"/>
      <c r="I9" s="16"/>
      <c r="J9" s="15"/>
      <c r="K9" s="12"/>
      <c r="L9" s="13"/>
      <c r="M9" s="4"/>
      <c r="N9" s="3"/>
      <c r="O9" s="4"/>
      <c r="P9" s="4"/>
      <c r="Q9" s="4"/>
    </row>
    <row r="10">
      <c r="A10" s="26" t="s">
        <v>25</v>
      </c>
      <c r="B10" s="27">
        <v>1.9E7</v>
      </c>
      <c r="C10" s="3"/>
      <c r="D10" s="4"/>
      <c r="E10" s="4"/>
      <c r="F10" s="22"/>
      <c r="G10" s="15"/>
      <c r="H10" s="16"/>
      <c r="I10" s="16"/>
      <c r="J10" s="15"/>
      <c r="K10" s="12"/>
      <c r="L10" s="13"/>
      <c r="M10" s="4"/>
      <c r="N10" s="3"/>
      <c r="O10" s="4"/>
      <c r="P10" s="4"/>
      <c r="Q10" s="4"/>
    </row>
    <row r="11">
      <c r="A11" s="26" t="s">
        <v>26</v>
      </c>
      <c r="B11" s="27"/>
      <c r="C11" s="3"/>
      <c r="D11" s="4"/>
      <c r="E11" s="4"/>
      <c r="F11" s="22"/>
      <c r="G11" s="15"/>
      <c r="H11" s="16"/>
      <c r="I11" s="16"/>
      <c r="J11" s="15"/>
      <c r="K11" s="12"/>
      <c r="L11" s="13"/>
      <c r="M11" s="4"/>
      <c r="N11" s="3"/>
      <c r="O11" s="4"/>
      <c r="P11" s="4"/>
      <c r="Q11" s="4"/>
    </row>
    <row r="12">
      <c r="A12" s="26" t="s">
        <v>27</v>
      </c>
      <c r="B12" s="27"/>
      <c r="C12" s="3"/>
      <c r="D12" s="4"/>
      <c r="E12" s="4"/>
      <c r="F12" s="22"/>
      <c r="G12" s="15"/>
      <c r="H12" s="16"/>
      <c r="I12" s="16"/>
      <c r="J12" s="15"/>
      <c r="K12" s="12"/>
      <c r="L12" s="13"/>
      <c r="M12" s="4"/>
      <c r="N12" s="3"/>
      <c r="O12" s="4"/>
      <c r="P12" s="4"/>
      <c r="Q12" s="4"/>
    </row>
    <row r="13">
      <c r="A13" s="28" t="s">
        <v>28</v>
      </c>
      <c r="B13" s="28">
        <f>SUM(B8:B12)-B7</f>
        <v>33768114</v>
      </c>
      <c r="C13" s="3"/>
      <c r="D13" s="4"/>
      <c r="E13" s="4"/>
      <c r="F13" s="22"/>
      <c r="G13" s="15"/>
      <c r="H13" s="16"/>
      <c r="I13" s="16"/>
      <c r="J13" s="15"/>
      <c r="K13" s="12"/>
      <c r="L13" s="13"/>
      <c r="M13" s="4"/>
      <c r="N13" s="3"/>
      <c r="O13" s="4"/>
      <c r="P13" s="4"/>
      <c r="Q13" s="4"/>
    </row>
    <row r="14">
      <c r="A14" s="29" t="s">
        <v>29</v>
      </c>
      <c r="B14" s="29">
        <v>1.0E7</v>
      </c>
      <c r="C14" s="12" t="s">
        <v>30</v>
      </c>
      <c r="D14" s="3">
        <v>1.9E7</v>
      </c>
      <c r="E14" s="4"/>
      <c r="F14" s="12"/>
      <c r="G14" s="15"/>
      <c r="H14" s="16"/>
      <c r="I14" s="16"/>
      <c r="J14" s="15"/>
      <c r="K14" s="12"/>
      <c r="L14" s="13"/>
      <c r="M14" s="4"/>
      <c r="N14" s="3"/>
      <c r="O14" s="4"/>
      <c r="P14" s="4"/>
      <c r="Q14" s="4"/>
    </row>
    <row r="15">
      <c r="A15" s="29" t="s">
        <v>31</v>
      </c>
      <c r="B15" s="30">
        <v>6000000.0</v>
      </c>
      <c r="C15" s="4"/>
      <c r="D15" s="31">
        <f>B13-B14-B15</f>
        <v>17768114</v>
      </c>
      <c r="E15" s="4"/>
      <c r="F15" s="12"/>
      <c r="G15" s="15"/>
      <c r="H15" s="16"/>
      <c r="I15" s="16"/>
      <c r="J15" s="15"/>
      <c r="K15" s="12"/>
      <c r="L15" s="13"/>
      <c r="M15" s="4"/>
      <c r="N15" s="3"/>
      <c r="O15" s="4"/>
      <c r="P15" s="4"/>
      <c r="Q15" s="4"/>
    </row>
    <row r="16">
      <c r="A16" s="32"/>
      <c r="B16" s="33" t="s">
        <v>32</v>
      </c>
      <c r="C16" s="33" t="s">
        <v>33</v>
      </c>
      <c r="D16" s="32" t="s">
        <v>34</v>
      </c>
      <c r="E16" s="32" t="s">
        <v>35</v>
      </c>
      <c r="F16" s="12"/>
      <c r="G16" s="15"/>
      <c r="H16" s="16"/>
      <c r="I16" s="16"/>
      <c r="J16" s="15"/>
      <c r="K16" s="12"/>
      <c r="L16" s="13"/>
      <c r="M16" s="4"/>
      <c r="N16" s="3"/>
      <c r="O16" s="4"/>
      <c r="P16" s="4"/>
      <c r="Q16" s="4"/>
    </row>
    <row r="17">
      <c r="A17" s="34" t="s">
        <v>36</v>
      </c>
      <c r="B17" s="8">
        <f>C17+B14</f>
        <v>-4380083445</v>
      </c>
      <c r="C17" s="33">
        <f>'02-2026'!B17</f>
        <v>-4390083445</v>
      </c>
      <c r="D17" s="33">
        <v>-4.5E9</v>
      </c>
      <c r="E17" s="33">
        <f t="shared" ref="E17:E18" si="2">B17-D17</f>
        <v>119916555</v>
      </c>
      <c r="F17" s="12"/>
      <c r="G17" s="15"/>
      <c r="H17" s="16"/>
      <c r="I17" s="16"/>
      <c r="J17" s="15"/>
      <c r="K17" s="12"/>
      <c r="L17" s="13"/>
      <c r="M17" s="4"/>
      <c r="N17" s="3"/>
      <c r="O17" s="4"/>
      <c r="P17" s="4"/>
      <c r="Q17" s="4"/>
    </row>
    <row r="18">
      <c r="A18" s="34" t="s">
        <v>37</v>
      </c>
      <c r="B18" s="8">
        <f>C18+J2+N2+B15</f>
        <v>-227060080</v>
      </c>
      <c r="C18" s="33">
        <f>'02-2026'!B18</f>
        <v>-341158994</v>
      </c>
      <c r="D18" s="33">
        <v>-1.72699995E8</v>
      </c>
      <c r="E18" s="33">
        <f t="shared" si="2"/>
        <v>-54360085</v>
      </c>
      <c r="F18" s="23"/>
      <c r="G18" s="15"/>
      <c r="H18" s="16"/>
      <c r="I18" s="16"/>
      <c r="J18" s="15"/>
      <c r="K18" s="12"/>
      <c r="L18" s="13"/>
      <c r="M18" s="4"/>
      <c r="N18" s="3"/>
      <c r="O18" s="4"/>
      <c r="P18" s="4"/>
      <c r="Q18" s="4"/>
    </row>
    <row r="19">
      <c r="A19" s="35" t="s">
        <v>38</v>
      </c>
      <c r="B19" s="11">
        <f>B17+B18</f>
        <v>-4607143525</v>
      </c>
      <c r="C19" s="33"/>
      <c r="D19" s="33">
        <f t="shared" ref="D19:E19" si="3">D17+D18</f>
        <v>-4672699995</v>
      </c>
      <c r="E19" s="33">
        <f t="shared" si="3"/>
        <v>65556470</v>
      </c>
      <c r="F19" s="12"/>
      <c r="G19" s="12"/>
      <c r="H19" s="12"/>
      <c r="I19" s="16"/>
      <c r="J19" s="15"/>
      <c r="K19" s="12"/>
      <c r="L19" s="13"/>
      <c r="M19" s="4"/>
      <c r="N19" s="3"/>
      <c r="O19" s="4"/>
      <c r="P19" s="4"/>
      <c r="Q19" s="4"/>
    </row>
    <row r="20">
      <c r="A20" s="4"/>
      <c r="B20" s="3"/>
      <c r="C20" s="3"/>
      <c r="D20" s="4"/>
      <c r="E20" s="4"/>
      <c r="F20" s="12"/>
      <c r="G20" s="15"/>
      <c r="H20" s="16"/>
      <c r="I20" s="16"/>
      <c r="J20" s="15"/>
      <c r="K20" s="12"/>
      <c r="L20" s="13"/>
      <c r="M20" s="4"/>
      <c r="N20" s="3"/>
      <c r="O20" s="4"/>
      <c r="P20" s="4"/>
      <c r="Q20" s="4"/>
    </row>
    <row r="21" ht="15.75" customHeight="1">
      <c r="A21" s="4"/>
      <c r="B21" s="4"/>
      <c r="C21" s="4"/>
      <c r="D21" s="4"/>
      <c r="E21" s="4"/>
      <c r="F21" s="12"/>
      <c r="G21" s="15"/>
      <c r="H21" s="16"/>
      <c r="I21" s="16"/>
      <c r="J21" s="15"/>
      <c r="K21" s="12"/>
      <c r="L21" s="13"/>
      <c r="M21" s="4"/>
      <c r="N21" s="3"/>
      <c r="O21" s="4"/>
      <c r="P21" s="4"/>
      <c r="Q21" s="4"/>
    </row>
    <row r="22" ht="15.75" customHeight="1">
      <c r="A22" s="4" t="s">
        <v>39</v>
      </c>
      <c r="B22" s="4">
        <f>4.7/100</f>
        <v>0.047</v>
      </c>
      <c r="C22" s="4" t="s">
        <v>40</v>
      </c>
      <c r="D22" s="4"/>
      <c r="E22" s="4"/>
      <c r="F22" s="12"/>
      <c r="G22" s="15"/>
      <c r="H22" s="16"/>
      <c r="I22" s="16"/>
      <c r="J22" s="15"/>
      <c r="K22" s="12"/>
      <c r="L22" s="13"/>
      <c r="M22" s="4"/>
      <c r="N22" s="3"/>
      <c r="O22" s="4"/>
      <c r="P22" s="4"/>
      <c r="Q22" s="4"/>
    </row>
    <row r="23" ht="15.75" customHeight="1">
      <c r="A23" s="3" t="s">
        <v>41</v>
      </c>
      <c r="B23" s="36">
        <v>2.0E8</v>
      </c>
      <c r="C23" s="37">
        <v>45987.0</v>
      </c>
      <c r="D23" s="37"/>
      <c r="E23" s="4" t="s">
        <v>42</v>
      </c>
      <c r="F23" s="12"/>
      <c r="G23" s="15"/>
      <c r="H23" s="16"/>
      <c r="I23" s="16"/>
      <c r="J23" s="15"/>
      <c r="K23" s="12"/>
      <c r="L23" s="13"/>
      <c r="M23" s="4"/>
      <c r="N23" s="3"/>
      <c r="O23" s="4"/>
      <c r="P23" s="4"/>
      <c r="Q23" s="4"/>
    </row>
    <row r="24" ht="15.75" customHeight="1">
      <c r="A24" s="3"/>
      <c r="B24" s="36">
        <v>2.31513194E8</v>
      </c>
      <c r="C24" s="3">
        <f>B24+B18</f>
        <v>4453114</v>
      </c>
      <c r="D24" s="38"/>
      <c r="E24" s="39"/>
      <c r="F24" s="12"/>
      <c r="G24" s="15"/>
      <c r="H24" s="16"/>
      <c r="I24" s="16"/>
      <c r="J24" s="15"/>
      <c r="K24" s="12"/>
      <c r="L24" s="13"/>
      <c r="M24" s="4"/>
      <c r="N24" s="3"/>
      <c r="O24" s="4"/>
      <c r="P24" s="4"/>
      <c r="Q24" s="4"/>
    </row>
    <row r="25" ht="15.75" customHeight="1">
      <c r="A25" s="4"/>
      <c r="B25" s="3"/>
      <c r="C25" s="3"/>
      <c r="D25" s="4"/>
      <c r="E25" s="4"/>
      <c r="F25" s="4"/>
      <c r="G25" s="3"/>
      <c r="H25" s="5"/>
      <c r="I25" s="5"/>
      <c r="J25" s="3"/>
      <c r="K25" s="4"/>
      <c r="L25" s="40"/>
      <c r="M25" s="4"/>
      <c r="N25" s="3"/>
      <c r="O25" s="4"/>
      <c r="P25" s="4"/>
      <c r="Q25" s="4"/>
    </row>
    <row r="26" ht="15.75" customHeight="1">
      <c r="A26" s="4"/>
      <c r="B26" s="3"/>
      <c r="C26" s="3"/>
      <c r="D26" s="4"/>
      <c r="E26" s="4"/>
      <c r="F26" s="4"/>
      <c r="G26" s="39"/>
      <c r="H26" s="41"/>
      <c r="I26" s="5"/>
      <c r="J26" s="3"/>
      <c r="K26" s="4"/>
      <c r="L26" s="40"/>
      <c r="M26" s="4"/>
      <c r="N26" s="3"/>
      <c r="O26" s="4"/>
      <c r="P26" s="4"/>
      <c r="Q26" s="4"/>
    </row>
    <row r="27" ht="15.75" customHeight="1">
      <c r="A27" s="4"/>
      <c r="B27" s="3"/>
      <c r="C27" s="3"/>
      <c r="D27" s="4"/>
      <c r="E27" s="4"/>
      <c r="F27" s="4"/>
      <c r="G27" s="3"/>
      <c r="H27" s="5"/>
      <c r="I27" s="5"/>
      <c r="J27" s="3"/>
      <c r="K27" s="4"/>
      <c r="L27" s="40"/>
      <c r="M27" s="4"/>
      <c r="N27" s="3"/>
      <c r="O27" s="4"/>
      <c r="P27" s="4"/>
      <c r="Q27" s="4"/>
    </row>
    <row r="28" ht="15.75" customHeight="1">
      <c r="A28" s="4"/>
      <c r="B28" s="3"/>
      <c r="C28" s="3"/>
      <c r="D28" s="4"/>
      <c r="E28" s="4"/>
      <c r="F28" s="4"/>
      <c r="G28" s="39"/>
      <c r="H28" s="41"/>
      <c r="I28" s="5"/>
      <c r="J28" s="3"/>
      <c r="K28" s="4"/>
      <c r="L28" s="40"/>
      <c r="M28" s="4"/>
      <c r="N28" s="3"/>
      <c r="O28" s="4"/>
      <c r="P28" s="4"/>
      <c r="Q28" s="4"/>
    </row>
    <row r="29" ht="15.75" customHeight="1">
      <c r="A29" s="4"/>
      <c r="B29" s="3"/>
      <c r="C29" s="3"/>
      <c r="D29" s="4"/>
      <c r="E29" s="4"/>
      <c r="F29" s="4"/>
      <c r="G29" s="39"/>
      <c r="H29" s="5"/>
      <c r="I29" s="41"/>
      <c r="J29" s="3"/>
      <c r="K29" s="4"/>
      <c r="L29" s="40"/>
      <c r="M29" s="4"/>
      <c r="N29" s="3"/>
      <c r="O29" s="4"/>
      <c r="P29" s="4"/>
      <c r="Q29" s="4"/>
    </row>
    <row r="30" ht="15.75" customHeight="1">
      <c r="A30" s="4"/>
      <c r="B30" s="3"/>
      <c r="C30" s="3"/>
      <c r="D30" s="4"/>
      <c r="E30" s="4"/>
      <c r="F30" s="4"/>
      <c r="G30" s="3"/>
      <c r="H30" s="5"/>
      <c r="I30" s="5"/>
      <c r="J30" s="3"/>
      <c r="K30" s="4"/>
      <c r="L30" s="40"/>
      <c r="M30" s="4"/>
      <c r="N30" s="3"/>
      <c r="O30" s="4"/>
      <c r="P30" s="4"/>
      <c r="Q30" s="4"/>
    </row>
    <row r="31" ht="15.75" customHeight="1">
      <c r="A31" s="4"/>
      <c r="B31" s="3"/>
      <c r="C31" s="3"/>
      <c r="D31" s="4"/>
      <c r="E31" s="4"/>
      <c r="F31" s="4"/>
      <c r="G31" s="3"/>
      <c r="H31" s="5"/>
      <c r="I31" s="5"/>
      <c r="J31" s="3"/>
      <c r="K31" s="4"/>
      <c r="L31" s="40"/>
      <c r="M31" s="4"/>
      <c r="N31" s="3"/>
      <c r="O31" s="4"/>
      <c r="P31" s="4"/>
      <c r="Q31" s="4"/>
    </row>
    <row r="32" ht="15.75" customHeight="1">
      <c r="A32" s="4"/>
      <c r="B32" s="3"/>
      <c r="C32" s="3"/>
      <c r="D32" s="4"/>
      <c r="E32" s="4"/>
      <c r="F32" s="4"/>
      <c r="G32" s="3"/>
      <c r="H32" s="5"/>
      <c r="I32" s="5"/>
      <c r="J32" s="3"/>
      <c r="K32" s="4"/>
      <c r="L32" s="40"/>
      <c r="M32" s="4"/>
      <c r="N32" s="3"/>
      <c r="O32" s="4"/>
      <c r="P32" s="4"/>
      <c r="Q32" s="4"/>
    </row>
    <row r="33" ht="15.75" customHeight="1">
      <c r="A33" s="4"/>
      <c r="B33" s="3"/>
      <c r="C33" s="3"/>
      <c r="D33" s="4"/>
      <c r="E33" s="4"/>
      <c r="F33" s="4"/>
      <c r="G33" s="3"/>
      <c r="H33" s="5"/>
      <c r="I33" s="5"/>
      <c r="J33" s="3"/>
      <c r="K33" s="4"/>
      <c r="L33" s="40"/>
      <c r="M33" s="4"/>
      <c r="N33" s="3"/>
      <c r="O33" s="4"/>
      <c r="P33" s="4"/>
      <c r="Q33" s="4"/>
    </row>
    <row r="34" ht="15.75" customHeight="1">
      <c r="A34" s="4"/>
      <c r="B34" s="3"/>
      <c r="C34" s="3"/>
      <c r="D34" s="4"/>
      <c r="E34" s="4"/>
      <c r="F34" s="4"/>
      <c r="G34" s="4"/>
      <c r="H34" s="5"/>
      <c r="I34" s="5"/>
      <c r="J34" s="4"/>
      <c r="K34" s="4"/>
      <c r="L34" s="40"/>
      <c r="M34" s="4"/>
      <c r="N34" s="3"/>
      <c r="O34" s="4"/>
      <c r="P34" s="4"/>
      <c r="Q34" s="4"/>
    </row>
    <row r="35" ht="15.75" customHeight="1">
      <c r="A35" s="4"/>
      <c r="B35" s="3"/>
      <c r="C35" s="3"/>
      <c r="D35" s="4"/>
      <c r="E35" s="4"/>
      <c r="F35" s="4"/>
      <c r="G35" s="4"/>
      <c r="H35" s="5"/>
      <c r="I35" s="5"/>
      <c r="J35" s="4"/>
      <c r="K35" s="4"/>
      <c r="L35" s="40"/>
      <c r="M35" s="4"/>
      <c r="N35" s="3"/>
      <c r="O35" s="4"/>
      <c r="P35" s="4"/>
      <c r="Q35" s="4"/>
    </row>
    <row r="36" ht="15.75" customHeight="1">
      <c r="A36" s="4"/>
      <c r="B36" s="3"/>
      <c r="C36" s="3"/>
      <c r="D36" s="4"/>
      <c r="E36" s="4"/>
      <c r="F36" s="4"/>
      <c r="G36" s="4"/>
      <c r="H36" s="5"/>
      <c r="I36" s="5"/>
      <c r="J36" s="4"/>
      <c r="K36" s="4"/>
      <c r="L36" s="40"/>
      <c r="M36" s="4"/>
      <c r="N36" s="3"/>
      <c r="O36" s="4"/>
      <c r="P36" s="4"/>
      <c r="Q36" s="4"/>
    </row>
    <row r="37" ht="15.75" customHeight="1">
      <c r="A37" s="4"/>
      <c r="B37" s="3"/>
      <c r="C37" s="3"/>
      <c r="D37" s="4"/>
      <c r="E37" s="4"/>
      <c r="F37" s="4"/>
      <c r="G37" s="4"/>
      <c r="H37" s="5"/>
      <c r="I37" s="5"/>
      <c r="J37" s="4"/>
      <c r="K37" s="4"/>
      <c r="L37" s="40"/>
      <c r="M37" s="4"/>
      <c r="N37" s="3"/>
      <c r="O37" s="4"/>
      <c r="P37" s="4"/>
      <c r="Q37" s="4"/>
    </row>
    <row r="38" ht="15.75" customHeight="1">
      <c r="A38" s="4"/>
      <c r="B38" s="3"/>
      <c r="C38" s="3"/>
      <c r="D38" s="4"/>
      <c r="E38" s="4"/>
      <c r="F38" s="4"/>
      <c r="G38" s="4"/>
      <c r="H38" s="5"/>
      <c r="I38" s="5"/>
      <c r="J38" s="4"/>
      <c r="K38" s="4"/>
      <c r="L38" s="40"/>
      <c r="M38" s="4"/>
      <c r="N38" s="3"/>
      <c r="O38" s="4"/>
      <c r="P38" s="4"/>
      <c r="Q38" s="4"/>
    </row>
    <row r="39" ht="15.75" customHeight="1">
      <c r="A39" s="4"/>
      <c r="B39" s="3"/>
      <c r="C39" s="3"/>
      <c r="D39" s="4"/>
      <c r="E39" s="4"/>
      <c r="F39" s="4"/>
      <c r="G39" s="4"/>
      <c r="H39" s="5"/>
      <c r="I39" s="5"/>
      <c r="J39" s="4"/>
      <c r="K39" s="4"/>
      <c r="L39" s="40"/>
      <c r="M39" s="4"/>
      <c r="N39" s="3"/>
      <c r="O39" s="4"/>
      <c r="P39" s="4"/>
      <c r="Q39" s="4"/>
    </row>
    <row r="40" ht="15.75" customHeight="1">
      <c r="A40" s="4"/>
      <c r="B40" s="3"/>
      <c r="C40" s="3"/>
      <c r="D40" s="4"/>
      <c r="E40" s="4"/>
      <c r="F40" s="4"/>
      <c r="G40" s="4"/>
      <c r="H40" s="5"/>
      <c r="I40" s="5"/>
      <c r="J40" s="4"/>
      <c r="K40" s="4"/>
      <c r="L40" s="40"/>
      <c r="M40" s="4"/>
      <c r="N40" s="3"/>
      <c r="O40" s="4"/>
      <c r="P40" s="4"/>
      <c r="Q40" s="4"/>
    </row>
    <row r="41" ht="15.75" customHeight="1">
      <c r="A41" s="4"/>
      <c r="B41" s="3"/>
      <c r="C41" s="3"/>
      <c r="D41" s="4"/>
      <c r="E41" s="4"/>
      <c r="F41" s="4"/>
      <c r="G41" s="4"/>
      <c r="H41" s="5"/>
      <c r="I41" s="5"/>
      <c r="J41" s="4"/>
      <c r="K41" s="4"/>
      <c r="L41" s="40"/>
      <c r="M41" s="4"/>
      <c r="N41" s="3"/>
      <c r="O41" s="4"/>
      <c r="P41" s="4"/>
      <c r="Q41" s="4"/>
    </row>
    <row r="42" ht="15.75" customHeight="1">
      <c r="A42" s="4"/>
      <c r="B42" s="3"/>
      <c r="C42" s="3"/>
      <c r="D42" s="4"/>
      <c r="E42" s="4"/>
      <c r="F42" s="4"/>
      <c r="G42" s="4"/>
      <c r="H42" s="5"/>
      <c r="I42" s="5"/>
      <c r="J42" s="4"/>
      <c r="K42" s="4"/>
      <c r="L42" s="40"/>
      <c r="M42" s="4"/>
      <c r="N42" s="3"/>
      <c r="O42" s="4"/>
      <c r="P42" s="4"/>
      <c r="Q42" s="4"/>
    </row>
    <row r="43" ht="15.75" customHeight="1">
      <c r="A43" s="4"/>
      <c r="B43" s="3"/>
      <c r="C43" s="3"/>
      <c r="D43" s="4"/>
      <c r="E43" s="4"/>
      <c r="F43" s="4"/>
      <c r="G43" s="4"/>
      <c r="H43" s="5"/>
      <c r="I43" s="5"/>
      <c r="J43" s="4"/>
      <c r="K43" s="4"/>
      <c r="L43" s="40"/>
      <c r="M43" s="4"/>
      <c r="N43" s="3"/>
      <c r="O43" s="4"/>
      <c r="P43" s="4"/>
      <c r="Q43" s="4"/>
    </row>
    <row r="44" ht="15.75" customHeight="1">
      <c r="A44" s="4"/>
      <c r="B44" s="3"/>
      <c r="C44" s="3"/>
      <c r="D44" s="4"/>
      <c r="E44" s="4"/>
      <c r="F44" s="4"/>
      <c r="G44" s="4"/>
      <c r="H44" s="5"/>
      <c r="I44" s="5"/>
      <c r="J44" s="4"/>
      <c r="K44" s="4"/>
      <c r="L44" s="40"/>
      <c r="M44" s="4"/>
      <c r="N44" s="3"/>
      <c r="O44" s="4"/>
      <c r="P44" s="4"/>
      <c r="Q44" s="4"/>
    </row>
    <row r="45" ht="15.75" customHeight="1">
      <c r="A45" s="4"/>
      <c r="B45" s="3"/>
      <c r="C45" s="3"/>
      <c r="D45" s="4"/>
      <c r="E45" s="4"/>
      <c r="F45" s="4"/>
      <c r="G45" s="4"/>
      <c r="H45" s="5"/>
      <c r="I45" s="5"/>
      <c r="J45" s="4"/>
      <c r="K45" s="4"/>
      <c r="L45" s="40"/>
      <c r="M45" s="4"/>
      <c r="N45" s="3"/>
      <c r="O45" s="4"/>
      <c r="P45" s="4"/>
      <c r="Q45" s="4"/>
    </row>
    <row r="46" ht="15.75" customHeight="1">
      <c r="A46" s="4"/>
      <c r="B46" s="3"/>
      <c r="C46" s="3"/>
      <c r="D46" s="4"/>
      <c r="E46" s="4"/>
      <c r="F46" s="4"/>
      <c r="G46" s="4"/>
      <c r="H46" s="5"/>
      <c r="I46" s="5"/>
      <c r="J46" s="4"/>
      <c r="K46" s="4"/>
      <c r="L46" s="40"/>
      <c r="M46" s="4"/>
      <c r="N46" s="3"/>
      <c r="O46" s="4"/>
      <c r="P46" s="4"/>
      <c r="Q46" s="4"/>
    </row>
    <row r="47" ht="15.75" customHeight="1">
      <c r="A47" s="4"/>
      <c r="B47" s="3"/>
      <c r="C47" s="3"/>
      <c r="D47" s="4"/>
      <c r="E47" s="4"/>
      <c r="F47" s="4"/>
      <c r="G47" s="4"/>
      <c r="H47" s="5"/>
      <c r="I47" s="5"/>
      <c r="J47" s="4"/>
      <c r="K47" s="4"/>
      <c r="L47" s="40"/>
      <c r="M47" s="4"/>
      <c r="N47" s="3"/>
      <c r="O47" s="4"/>
      <c r="P47" s="4"/>
      <c r="Q47" s="4"/>
    </row>
    <row r="48" ht="15.75" customHeight="1">
      <c r="A48" s="4"/>
      <c r="B48" s="3"/>
      <c r="C48" s="3"/>
      <c r="D48" s="4"/>
      <c r="E48" s="4"/>
      <c r="F48" s="4"/>
      <c r="G48" s="4"/>
      <c r="H48" s="5"/>
      <c r="I48" s="5"/>
      <c r="J48" s="4"/>
      <c r="K48" s="4"/>
      <c r="L48" s="40"/>
      <c r="M48" s="4"/>
      <c r="N48" s="3"/>
      <c r="O48" s="4"/>
      <c r="P48" s="4"/>
      <c r="Q48" s="4"/>
    </row>
    <row r="49" ht="15.75" customHeight="1">
      <c r="A49" s="4"/>
      <c r="B49" s="3"/>
      <c r="C49" s="3"/>
      <c r="D49" s="4"/>
      <c r="E49" s="4"/>
      <c r="F49" s="4"/>
      <c r="G49" s="4"/>
      <c r="H49" s="5"/>
      <c r="I49" s="5"/>
      <c r="J49" s="4"/>
      <c r="K49" s="4"/>
      <c r="L49" s="40"/>
      <c r="M49" s="4"/>
      <c r="N49" s="3"/>
      <c r="O49" s="4"/>
      <c r="P49" s="4"/>
      <c r="Q49" s="4"/>
    </row>
    <row r="50" ht="15.75" customHeight="1">
      <c r="A50" s="4"/>
      <c r="B50" s="3"/>
      <c r="C50" s="3"/>
      <c r="D50" s="4"/>
      <c r="E50" s="4"/>
      <c r="F50" s="4"/>
      <c r="G50" s="4"/>
      <c r="H50" s="5"/>
      <c r="I50" s="5"/>
      <c r="J50" s="4"/>
      <c r="K50" s="4"/>
      <c r="L50" s="40"/>
      <c r="M50" s="4"/>
      <c r="N50" s="3"/>
      <c r="O50" s="4"/>
      <c r="P50" s="4"/>
      <c r="Q50" s="4"/>
    </row>
    <row r="51" ht="15.75" customHeight="1">
      <c r="A51" s="4"/>
      <c r="B51" s="3"/>
      <c r="C51" s="3"/>
      <c r="D51" s="4"/>
      <c r="E51" s="4"/>
      <c r="F51" s="4"/>
      <c r="G51" s="4"/>
      <c r="H51" s="5"/>
      <c r="I51" s="5"/>
      <c r="J51" s="4"/>
      <c r="K51" s="4"/>
      <c r="L51" s="40"/>
      <c r="M51" s="4"/>
      <c r="N51" s="3"/>
      <c r="O51" s="4"/>
      <c r="P51" s="4"/>
      <c r="Q51" s="4"/>
    </row>
    <row r="52" ht="15.75" customHeight="1">
      <c r="A52" s="4"/>
      <c r="B52" s="3"/>
      <c r="C52" s="3"/>
      <c r="D52" s="4"/>
      <c r="E52" s="4"/>
      <c r="F52" s="4"/>
      <c r="G52" s="4"/>
      <c r="H52" s="5"/>
      <c r="I52" s="5"/>
      <c r="J52" s="4"/>
      <c r="K52" s="4"/>
      <c r="L52" s="40"/>
      <c r="M52" s="4"/>
      <c r="N52" s="3"/>
      <c r="O52" s="4"/>
      <c r="P52" s="4"/>
      <c r="Q52" s="4"/>
    </row>
    <row r="53" ht="15.75" customHeight="1">
      <c r="A53" s="4"/>
      <c r="B53" s="3"/>
      <c r="C53" s="3"/>
      <c r="D53" s="4"/>
      <c r="E53" s="4"/>
      <c r="F53" s="4"/>
      <c r="G53" s="4"/>
      <c r="H53" s="5"/>
      <c r="I53" s="5"/>
      <c r="J53" s="4"/>
      <c r="K53" s="4"/>
      <c r="L53" s="40"/>
      <c r="M53" s="4"/>
      <c r="N53" s="3"/>
      <c r="O53" s="4"/>
      <c r="P53" s="4"/>
      <c r="Q53" s="4"/>
    </row>
    <row r="54" ht="15.75" customHeight="1">
      <c r="A54" s="4"/>
      <c r="B54" s="3"/>
      <c r="C54" s="3"/>
      <c r="D54" s="4"/>
      <c r="E54" s="4"/>
      <c r="F54" s="4"/>
      <c r="G54" s="4"/>
      <c r="H54" s="5"/>
      <c r="I54" s="5"/>
      <c r="J54" s="4"/>
      <c r="K54" s="4"/>
      <c r="L54" s="40"/>
      <c r="M54" s="4"/>
      <c r="N54" s="3"/>
      <c r="O54" s="4"/>
      <c r="P54" s="4"/>
      <c r="Q54" s="4"/>
    </row>
    <row r="55" ht="15.75" customHeight="1">
      <c r="A55" s="4"/>
      <c r="B55" s="3"/>
      <c r="C55" s="3"/>
      <c r="D55" s="4"/>
      <c r="E55" s="4"/>
      <c r="F55" s="4"/>
      <c r="G55" s="4"/>
      <c r="H55" s="5"/>
      <c r="I55" s="5"/>
      <c r="J55" s="4"/>
      <c r="K55" s="4"/>
      <c r="L55" s="40"/>
      <c r="M55" s="4"/>
      <c r="N55" s="3"/>
      <c r="O55" s="4"/>
      <c r="P55" s="4"/>
      <c r="Q55" s="4"/>
    </row>
    <row r="56" ht="15.75" customHeight="1">
      <c r="A56" s="4"/>
      <c r="B56" s="3"/>
      <c r="C56" s="3"/>
      <c r="D56" s="4"/>
      <c r="E56" s="4"/>
      <c r="F56" s="4"/>
      <c r="G56" s="4"/>
      <c r="H56" s="5"/>
      <c r="I56" s="5"/>
      <c r="J56" s="4"/>
      <c r="K56" s="4"/>
      <c r="L56" s="40"/>
      <c r="M56" s="4"/>
      <c r="N56" s="3"/>
      <c r="O56" s="4"/>
      <c r="P56" s="4"/>
      <c r="Q56" s="4"/>
    </row>
    <row r="57" ht="15.75" customHeight="1">
      <c r="A57" s="4"/>
      <c r="B57" s="3"/>
      <c r="C57" s="3"/>
      <c r="D57" s="4"/>
      <c r="E57" s="4"/>
      <c r="F57" s="4"/>
      <c r="G57" s="4"/>
      <c r="H57" s="5"/>
      <c r="I57" s="5"/>
      <c r="J57" s="4"/>
      <c r="K57" s="4"/>
      <c r="L57" s="40"/>
      <c r="M57" s="4"/>
      <c r="N57" s="3"/>
      <c r="O57" s="4"/>
      <c r="P57" s="4"/>
      <c r="Q57" s="4"/>
    </row>
    <row r="58" ht="15.75" customHeight="1">
      <c r="A58" s="4"/>
      <c r="B58" s="3"/>
      <c r="C58" s="3"/>
      <c r="D58" s="4"/>
      <c r="E58" s="4"/>
      <c r="F58" s="4"/>
      <c r="G58" s="4"/>
      <c r="H58" s="5"/>
      <c r="I58" s="5"/>
      <c r="J58" s="4"/>
      <c r="K58" s="4"/>
      <c r="L58" s="40"/>
      <c r="M58" s="4"/>
      <c r="N58" s="3"/>
      <c r="O58" s="4"/>
      <c r="P58" s="4"/>
      <c r="Q58" s="4"/>
    </row>
    <row r="59" ht="15.75" customHeight="1">
      <c r="A59" s="4"/>
      <c r="B59" s="3"/>
      <c r="C59" s="3"/>
      <c r="D59" s="4"/>
      <c r="E59" s="4"/>
      <c r="F59" s="4"/>
      <c r="G59" s="4"/>
      <c r="H59" s="5"/>
      <c r="I59" s="5"/>
      <c r="J59" s="4"/>
      <c r="K59" s="4"/>
      <c r="L59" s="40"/>
      <c r="M59" s="4"/>
      <c r="N59" s="3"/>
      <c r="O59" s="4"/>
      <c r="P59" s="4"/>
      <c r="Q59" s="4"/>
    </row>
    <row r="60" ht="15.75" customHeight="1">
      <c r="A60" s="4"/>
      <c r="B60" s="3"/>
      <c r="C60" s="3"/>
      <c r="D60" s="4"/>
      <c r="E60" s="4"/>
      <c r="F60" s="4"/>
      <c r="G60" s="4"/>
      <c r="H60" s="5"/>
      <c r="I60" s="5"/>
      <c r="J60" s="4"/>
      <c r="K60" s="4"/>
      <c r="L60" s="40"/>
      <c r="M60" s="4"/>
      <c r="N60" s="3"/>
      <c r="O60" s="4"/>
      <c r="P60" s="4"/>
      <c r="Q60" s="4"/>
    </row>
    <row r="61" ht="15.75" customHeight="1">
      <c r="A61" s="4"/>
      <c r="B61" s="3"/>
      <c r="C61" s="3"/>
      <c r="D61" s="4"/>
      <c r="E61" s="4"/>
      <c r="F61" s="4"/>
      <c r="G61" s="4"/>
      <c r="H61" s="5"/>
      <c r="I61" s="5"/>
      <c r="J61" s="4"/>
      <c r="K61" s="4"/>
      <c r="L61" s="40"/>
      <c r="M61" s="4"/>
      <c r="N61" s="3"/>
      <c r="O61" s="4"/>
      <c r="P61" s="4"/>
      <c r="Q61" s="4"/>
    </row>
    <row r="62" ht="15.75" customHeight="1">
      <c r="A62" s="4"/>
      <c r="B62" s="3"/>
      <c r="C62" s="3"/>
      <c r="D62" s="4"/>
      <c r="E62" s="4"/>
      <c r="F62" s="4"/>
      <c r="G62" s="4"/>
      <c r="H62" s="5"/>
      <c r="I62" s="5"/>
      <c r="J62" s="4"/>
      <c r="K62" s="4"/>
      <c r="L62" s="40"/>
      <c r="M62" s="4"/>
      <c r="N62" s="3"/>
      <c r="O62" s="4"/>
      <c r="P62" s="4"/>
      <c r="Q62" s="4"/>
    </row>
    <row r="63" ht="15.75" customHeight="1">
      <c r="A63" s="4"/>
      <c r="B63" s="3"/>
      <c r="C63" s="3"/>
      <c r="D63" s="4"/>
      <c r="E63" s="4"/>
      <c r="F63" s="4"/>
      <c r="G63" s="4"/>
      <c r="H63" s="5"/>
      <c r="I63" s="5"/>
      <c r="J63" s="4"/>
      <c r="K63" s="4"/>
      <c r="L63" s="40"/>
      <c r="M63" s="4"/>
      <c r="N63" s="3"/>
      <c r="O63" s="4"/>
      <c r="P63" s="4"/>
      <c r="Q63" s="4"/>
    </row>
    <row r="64" ht="15.75" customHeight="1">
      <c r="A64" s="4"/>
      <c r="B64" s="3"/>
      <c r="C64" s="3"/>
      <c r="D64" s="4"/>
      <c r="E64" s="4"/>
      <c r="F64" s="4"/>
      <c r="G64" s="4"/>
      <c r="H64" s="5"/>
      <c r="I64" s="5"/>
      <c r="J64" s="4"/>
      <c r="K64" s="4"/>
      <c r="L64" s="40"/>
      <c r="M64" s="4"/>
      <c r="N64" s="3"/>
      <c r="O64" s="4"/>
      <c r="P64" s="4"/>
      <c r="Q64" s="4"/>
    </row>
    <row r="65" ht="15.75" customHeight="1">
      <c r="A65" s="4"/>
      <c r="B65" s="3"/>
      <c r="C65" s="3"/>
      <c r="D65" s="4"/>
      <c r="E65" s="4"/>
      <c r="F65" s="4"/>
      <c r="G65" s="4"/>
      <c r="H65" s="5"/>
      <c r="I65" s="5"/>
      <c r="J65" s="4"/>
      <c r="K65" s="4"/>
      <c r="L65" s="40"/>
      <c r="M65" s="4"/>
      <c r="N65" s="3"/>
      <c r="O65" s="4"/>
      <c r="P65" s="4"/>
      <c r="Q65" s="4"/>
    </row>
    <row r="66" ht="15.75" customHeight="1">
      <c r="A66" s="4"/>
      <c r="B66" s="3"/>
      <c r="C66" s="3"/>
      <c r="D66" s="4"/>
      <c r="E66" s="4"/>
      <c r="F66" s="4"/>
      <c r="G66" s="4"/>
      <c r="H66" s="5"/>
      <c r="I66" s="5"/>
      <c r="J66" s="4"/>
      <c r="K66" s="4"/>
      <c r="L66" s="40"/>
      <c r="M66" s="4"/>
      <c r="N66" s="3"/>
      <c r="O66" s="4"/>
      <c r="P66" s="4"/>
      <c r="Q66" s="4"/>
    </row>
    <row r="67" ht="15.75" customHeight="1">
      <c r="A67" s="4"/>
      <c r="B67" s="3"/>
      <c r="C67" s="3"/>
      <c r="D67" s="4"/>
      <c r="E67" s="4"/>
      <c r="F67" s="4"/>
      <c r="G67" s="4"/>
      <c r="H67" s="5"/>
      <c r="I67" s="5"/>
      <c r="J67" s="4"/>
      <c r="K67" s="4"/>
      <c r="L67" s="40"/>
      <c r="M67" s="4"/>
      <c r="N67" s="3"/>
      <c r="O67" s="4"/>
      <c r="P67" s="4"/>
      <c r="Q67" s="4"/>
    </row>
    <row r="68" ht="15.75" customHeight="1">
      <c r="A68" s="4"/>
      <c r="B68" s="3"/>
      <c r="C68" s="3"/>
      <c r="D68" s="4"/>
      <c r="E68" s="4"/>
      <c r="F68" s="4"/>
      <c r="G68" s="4"/>
      <c r="H68" s="5"/>
      <c r="I68" s="5"/>
      <c r="J68" s="4"/>
      <c r="K68" s="4"/>
      <c r="L68" s="40"/>
      <c r="M68" s="4"/>
      <c r="N68" s="3"/>
      <c r="O68" s="4"/>
      <c r="P68" s="4"/>
      <c r="Q68" s="4"/>
    </row>
    <row r="69" ht="15.75" customHeight="1">
      <c r="A69" s="4"/>
      <c r="B69" s="3"/>
      <c r="C69" s="3"/>
      <c r="D69" s="4"/>
      <c r="E69" s="4"/>
      <c r="F69" s="4"/>
      <c r="G69" s="4"/>
      <c r="H69" s="5"/>
      <c r="I69" s="5"/>
      <c r="J69" s="4"/>
      <c r="K69" s="4"/>
      <c r="L69" s="40"/>
      <c r="M69" s="4"/>
      <c r="N69" s="3"/>
      <c r="O69" s="4"/>
      <c r="P69" s="4"/>
      <c r="Q69" s="4"/>
    </row>
    <row r="70" ht="15.75" customHeight="1">
      <c r="A70" s="4"/>
      <c r="B70" s="3"/>
      <c r="C70" s="3"/>
      <c r="D70" s="4"/>
      <c r="E70" s="4"/>
      <c r="F70" s="4"/>
      <c r="G70" s="4"/>
      <c r="H70" s="5"/>
      <c r="I70" s="5"/>
      <c r="J70" s="4"/>
      <c r="K70" s="4"/>
      <c r="L70" s="40"/>
      <c r="M70" s="4"/>
      <c r="N70" s="3"/>
      <c r="O70" s="4"/>
      <c r="P70" s="4"/>
      <c r="Q70" s="4"/>
    </row>
    <row r="71" ht="15.75" customHeight="1">
      <c r="A71" s="4"/>
      <c r="B71" s="3"/>
      <c r="C71" s="3"/>
      <c r="D71" s="4"/>
      <c r="E71" s="4"/>
      <c r="F71" s="4"/>
      <c r="G71" s="4"/>
      <c r="H71" s="5"/>
      <c r="I71" s="5"/>
      <c r="J71" s="4"/>
      <c r="K71" s="4"/>
      <c r="L71" s="40"/>
      <c r="M71" s="4"/>
      <c r="N71" s="3"/>
      <c r="O71" s="4"/>
      <c r="P71" s="4"/>
      <c r="Q71" s="4"/>
    </row>
    <row r="72" ht="15.75" customHeight="1">
      <c r="A72" s="4"/>
      <c r="B72" s="3"/>
      <c r="C72" s="3"/>
      <c r="D72" s="4"/>
      <c r="E72" s="4"/>
      <c r="F72" s="4"/>
      <c r="G72" s="4"/>
      <c r="H72" s="5"/>
      <c r="I72" s="5"/>
      <c r="J72" s="4"/>
      <c r="K72" s="4"/>
      <c r="L72" s="40"/>
      <c r="M72" s="4"/>
      <c r="N72" s="3"/>
      <c r="O72" s="4"/>
      <c r="P72" s="4"/>
      <c r="Q72" s="4"/>
    </row>
    <row r="73" ht="15.75" customHeight="1">
      <c r="A73" s="4"/>
      <c r="B73" s="3"/>
      <c r="C73" s="3"/>
      <c r="D73" s="4"/>
      <c r="E73" s="4"/>
      <c r="F73" s="4"/>
      <c r="G73" s="4"/>
      <c r="H73" s="5"/>
      <c r="I73" s="5"/>
      <c r="J73" s="4"/>
      <c r="K73" s="4"/>
      <c r="L73" s="40"/>
      <c r="M73" s="4"/>
      <c r="N73" s="3"/>
      <c r="O73" s="4"/>
      <c r="P73" s="4"/>
      <c r="Q73" s="4"/>
    </row>
    <row r="74" ht="15.75" customHeight="1">
      <c r="A74" s="4"/>
      <c r="B74" s="3"/>
      <c r="C74" s="3"/>
      <c r="D74" s="4"/>
      <c r="E74" s="4"/>
      <c r="F74" s="4"/>
      <c r="G74" s="4"/>
      <c r="H74" s="5"/>
      <c r="I74" s="5"/>
      <c r="J74" s="4"/>
      <c r="K74" s="4"/>
      <c r="L74" s="40"/>
      <c r="M74" s="4"/>
      <c r="N74" s="3"/>
      <c r="O74" s="4"/>
      <c r="P74" s="4"/>
      <c r="Q74" s="4"/>
    </row>
    <row r="75" ht="15.75" customHeight="1">
      <c r="A75" s="4"/>
      <c r="B75" s="3"/>
      <c r="C75" s="3"/>
      <c r="D75" s="4"/>
      <c r="E75" s="4"/>
      <c r="F75" s="4"/>
      <c r="G75" s="4"/>
      <c r="H75" s="5"/>
      <c r="I75" s="5"/>
      <c r="J75" s="4"/>
      <c r="K75" s="4"/>
      <c r="L75" s="40"/>
      <c r="M75" s="4"/>
      <c r="N75" s="3"/>
      <c r="O75" s="4"/>
      <c r="P75" s="4"/>
      <c r="Q75" s="4"/>
    </row>
    <row r="76" ht="15.75" customHeight="1">
      <c r="A76" s="4"/>
      <c r="B76" s="3"/>
      <c r="C76" s="3"/>
      <c r="D76" s="4"/>
      <c r="E76" s="4"/>
      <c r="F76" s="4"/>
      <c r="G76" s="4"/>
      <c r="H76" s="5"/>
      <c r="I76" s="5"/>
      <c r="J76" s="4"/>
      <c r="K76" s="4"/>
      <c r="L76" s="40"/>
      <c r="M76" s="4"/>
      <c r="N76" s="3"/>
      <c r="O76" s="4"/>
      <c r="P76" s="4"/>
      <c r="Q76" s="4"/>
    </row>
    <row r="77" ht="15.75" customHeight="1">
      <c r="A77" s="4"/>
      <c r="B77" s="3"/>
      <c r="C77" s="3"/>
      <c r="D77" s="4"/>
      <c r="E77" s="4"/>
      <c r="F77" s="4"/>
      <c r="G77" s="4"/>
      <c r="H77" s="5"/>
      <c r="I77" s="5"/>
      <c r="J77" s="4"/>
      <c r="K77" s="4"/>
      <c r="L77" s="40"/>
      <c r="M77" s="4"/>
      <c r="N77" s="3"/>
      <c r="O77" s="4"/>
      <c r="P77" s="4"/>
      <c r="Q77" s="4"/>
    </row>
    <row r="78" ht="15.75" customHeight="1">
      <c r="A78" s="4"/>
      <c r="B78" s="3"/>
      <c r="C78" s="3"/>
      <c r="D78" s="4"/>
      <c r="E78" s="4"/>
      <c r="F78" s="4"/>
      <c r="G78" s="4"/>
      <c r="H78" s="5"/>
      <c r="I78" s="5"/>
      <c r="J78" s="4"/>
      <c r="K78" s="4"/>
      <c r="L78" s="40"/>
      <c r="M78" s="4"/>
      <c r="N78" s="3"/>
      <c r="O78" s="4"/>
      <c r="P78" s="4"/>
      <c r="Q78" s="4"/>
    </row>
    <row r="79" ht="15.75" customHeight="1">
      <c r="A79" s="4"/>
      <c r="B79" s="3"/>
      <c r="C79" s="3"/>
      <c r="D79" s="4"/>
      <c r="E79" s="4"/>
      <c r="F79" s="4"/>
      <c r="G79" s="4"/>
      <c r="H79" s="5"/>
      <c r="I79" s="5"/>
      <c r="J79" s="4"/>
      <c r="K79" s="4"/>
      <c r="L79" s="40"/>
      <c r="M79" s="4"/>
      <c r="N79" s="3"/>
      <c r="O79" s="4"/>
      <c r="P79" s="4"/>
      <c r="Q79" s="4"/>
    </row>
    <row r="80" ht="15.75" customHeight="1">
      <c r="A80" s="4"/>
      <c r="B80" s="3"/>
      <c r="C80" s="3"/>
      <c r="D80" s="4"/>
      <c r="E80" s="4"/>
      <c r="F80" s="4"/>
      <c r="G80" s="4"/>
      <c r="H80" s="5"/>
      <c r="I80" s="5"/>
      <c r="J80" s="4"/>
      <c r="K80" s="4"/>
      <c r="L80" s="40"/>
      <c r="M80" s="4"/>
      <c r="N80" s="3"/>
      <c r="O80" s="4"/>
      <c r="P80" s="4"/>
      <c r="Q80" s="4"/>
    </row>
    <row r="81" ht="15.75" customHeight="1">
      <c r="A81" s="4"/>
      <c r="B81" s="3"/>
      <c r="C81" s="3"/>
      <c r="D81" s="4"/>
      <c r="E81" s="4"/>
      <c r="F81" s="4"/>
      <c r="G81" s="4"/>
      <c r="H81" s="5"/>
      <c r="I81" s="5"/>
      <c r="J81" s="4"/>
      <c r="K81" s="4"/>
      <c r="L81" s="40"/>
      <c r="M81" s="4"/>
      <c r="N81" s="3"/>
      <c r="O81" s="4"/>
      <c r="P81" s="4"/>
      <c r="Q81" s="4"/>
    </row>
    <row r="82" ht="15.75" customHeight="1">
      <c r="A82" s="4"/>
      <c r="B82" s="3"/>
      <c r="C82" s="3"/>
      <c r="D82" s="4"/>
      <c r="E82" s="4"/>
      <c r="F82" s="4"/>
      <c r="G82" s="4"/>
      <c r="H82" s="5"/>
      <c r="I82" s="5"/>
      <c r="J82" s="4"/>
      <c r="K82" s="4"/>
      <c r="L82" s="40"/>
      <c r="M82" s="4"/>
      <c r="N82" s="3"/>
      <c r="O82" s="4"/>
      <c r="P82" s="4"/>
      <c r="Q82" s="4"/>
    </row>
    <row r="83" ht="15.75" customHeight="1">
      <c r="A83" s="4"/>
      <c r="B83" s="3"/>
      <c r="C83" s="3"/>
      <c r="D83" s="4"/>
      <c r="E83" s="4"/>
      <c r="F83" s="4"/>
      <c r="G83" s="4"/>
      <c r="H83" s="5"/>
      <c r="I83" s="5"/>
      <c r="J83" s="4"/>
      <c r="K83" s="4"/>
      <c r="L83" s="40"/>
      <c r="M83" s="4"/>
      <c r="N83" s="3"/>
      <c r="O83" s="4"/>
      <c r="P83" s="4"/>
      <c r="Q83" s="4"/>
    </row>
    <row r="84" ht="15.75" customHeight="1">
      <c r="A84" s="4"/>
      <c r="B84" s="3"/>
      <c r="C84" s="3"/>
      <c r="D84" s="4"/>
      <c r="E84" s="4"/>
      <c r="F84" s="4"/>
      <c r="G84" s="4"/>
      <c r="H84" s="5"/>
      <c r="I84" s="5"/>
      <c r="J84" s="4"/>
      <c r="K84" s="4"/>
      <c r="L84" s="40"/>
      <c r="M84" s="4"/>
      <c r="N84" s="3"/>
      <c r="O84" s="4"/>
      <c r="P84" s="4"/>
      <c r="Q84" s="4"/>
    </row>
    <row r="85" ht="15.75" customHeight="1">
      <c r="A85" s="4"/>
      <c r="B85" s="3"/>
      <c r="C85" s="3"/>
      <c r="D85" s="4"/>
      <c r="E85" s="4"/>
      <c r="F85" s="4"/>
      <c r="G85" s="4"/>
      <c r="H85" s="5"/>
      <c r="I85" s="5"/>
      <c r="J85" s="4"/>
      <c r="K85" s="4"/>
      <c r="L85" s="40"/>
      <c r="M85" s="4"/>
      <c r="N85" s="3"/>
      <c r="O85" s="4"/>
      <c r="P85" s="4"/>
      <c r="Q85" s="4"/>
    </row>
    <row r="86" ht="15.75" customHeight="1">
      <c r="A86" s="4"/>
      <c r="B86" s="3"/>
      <c r="C86" s="3"/>
      <c r="D86" s="4"/>
      <c r="E86" s="4"/>
      <c r="F86" s="4"/>
      <c r="G86" s="4"/>
      <c r="H86" s="5"/>
      <c r="I86" s="5"/>
      <c r="J86" s="4"/>
      <c r="K86" s="4"/>
      <c r="L86" s="40"/>
      <c r="M86" s="4"/>
      <c r="N86" s="3"/>
      <c r="O86" s="4"/>
      <c r="P86" s="4"/>
      <c r="Q86" s="4"/>
    </row>
    <row r="87" ht="15.75" customHeight="1">
      <c r="A87" s="4"/>
      <c r="B87" s="3"/>
      <c r="C87" s="3"/>
      <c r="D87" s="4"/>
      <c r="E87" s="4"/>
      <c r="F87" s="4"/>
      <c r="G87" s="4"/>
      <c r="H87" s="5"/>
      <c r="I87" s="5"/>
      <c r="J87" s="4"/>
      <c r="K87" s="4"/>
      <c r="L87" s="40"/>
      <c r="M87" s="4"/>
      <c r="N87" s="3"/>
      <c r="O87" s="4"/>
      <c r="P87" s="4"/>
      <c r="Q87" s="4"/>
    </row>
    <row r="88" ht="15.75" customHeight="1">
      <c r="A88" s="4"/>
      <c r="B88" s="3"/>
      <c r="C88" s="3"/>
      <c r="D88" s="4"/>
      <c r="E88" s="4"/>
      <c r="F88" s="4"/>
      <c r="G88" s="4"/>
      <c r="H88" s="5"/>
      <c r="I88" s="5"/>
      <c r="J88" s="4"/>
      <c r="K88" s="4"/>
      <c r="L88" s="40"/>
      <c r="M88" s="4"/>
      <c r="N88" s="3"/>
      <c r="O88" s="4"/>
      <c r="P88" s="4"/>
      <c r="Q88" s="4"/>
    </row>
    <row r="89" ht="15.75" customHeight="1">
      <c r="A89" s="4"/>
      <c r="B89" s="3"/>
      <c r="C89" s="3"/>
      <c r="D89" s="4"/>
      <c r="E89" s="4"/>
      <c r="F89" s="4"/>
      <c r="G89" s="4"/>
      <c r="H89" s="5"/>
      <c r="I89" s="5"/>
      <c r="J89" s="4"/>
      <c r="K89" s="4"/>
      <c r="L89" s="40"/>
      <c r="M89" s="4"/>
      <c r="N89" s="3"/>
      <c r="O89" s="4"/>
      <c r="P89" s="4"/>
      <c r="Q89" s="4"/>
    </row>
    <row r="90" ht="15.75" customHeight="1">
      <c r="A90" s="4"/>
      <c r="B90" s="3"/>
      <c r="C90" s="3"/>
      <c r="D90" s="4"/>
      <c r="E90" s="4"/>
      <c r="F90" s="4"/>
      <c r="G90" s="4"/>
      <c r="H90" s="5"/>
      <c r="I90" s="5"/>
      <c r="J90" s="4"/>
      <c r="K90" s="4"/>
      <c r="L90" s="40"/>
      <c r="M90" s="4"/>
      <c r="N90" s="3"/>
      <c r="O90" s="4"/>
      <c r="P90" s="4"/>
      <c r="Q90" s="4"/>
    </row>
    <row r="91" ht="15.75" customHeight="1">
      <c r="A91" s="4"/>
      <c r="B91" s="3"/>
      <c r="C91" s="3"/>
      <c r="D91" s="4"/>
      <c r="E91" s="4"/>
      <c r="F91" s="4"/>
      <c r="G91" s="4"/>
      <c r="H91" s="5"/>
      <c r="I91" s="5"/>
      <c r="J91" s="4"/>
      <c r="K91" s="4"/>
      <c r="L91" s="40"/>
      <c r="M91" s="4"/>
      <c r="N91" s="3"/>
      <c r="O91" s="4"/>
      <c r="P91" s="4"/>
      <c r="Q91" s="4"/>
    </row>
    <row r="92" ht="15.75" customHeight="1">
      <c r="A92" s="4"/>
      <c r="B92" s="3"/>
      <c r="C92" s="3"/>
      <c r="D92" s="4"/>
      <c r="E92" s="4"/>
      <c r="F92" s="4"/>
      <c r="G92" s="4"/>
      <c r="H92" s="5"/>
      <c r="I92" s="5"/>
      <c r="J92" s="4"/>
      <c r="K92" s="4"/>
      <c r="L92" s="40"/>
      <c r="M92" s="4"/>
      <c r="N92" s="3"/>
      <c r="O92" s="4"/>
      <c r="P92" s="4"/>
      <c r="Q92" s="4"/>
    </row>
    <row r="93" ht="15.75" customHeight="1">
      <c r="A93" s="4"/>
      <c r="B93" s="3"/>
      <c r="C93" s="3"/>
      <c r="D93" s="4"/>
      <c r="E93" s="4"/>
      <c r="F93" s="4"/>
      <c r="G93" s="4"/>
      <c r="H93" s="5"/>
      <c r="I93" s="5"/>
      <c r="J93" s="4"/>
      <c r="K93" s="4"/>
      <c r="L93" s="40"/>
      <c r="M93" s="4"/>
      <c r="N93" s="3"/>
      <c r="O93" s="4"/>
      <c r="P93" s="4"/>
      <c r="Q93" s="4"/>
    </row>
    <row r="94" ht="15.75" customHeight="1">
      <c r="A94" s="4"/>
      <c r="B94" s="3"/>
      <c r="C94" s="3"/>
      <c r="D94" s="4"/>
      <c r="E94" s="4"/>
      <c r="F94" s="4"/>
      <c r="G94" s="4"/>
      <c r="H94" s="5"/>
      <c r="I94" s="5"/>
      <c r="J94" s="4"/>
      <c r="K94" s="4"/>
      <c r="L94" s="40"/>
      <c r="M94" s="4"/>
      <c r="N94" s="3"/>
      <c r="O94" s="4"/>
      <c r="P94" s="4"/>
      <c r="Q94" s="4"/>
    </row>
    <row r="95" ht="15.75" customHeight="1">
      <c r="A95" s="4"/>
      <c r="B95" s="3"/>
      <c r="C95" s="3"/>
      <c r="D95" s="4"/>
      <c r="E95" s="4"/>
      <c r="F95" s="4"/>
      <c r="G95" s="4"/>
      <c r="H95" s="5"/>
      <c r="I95" s="5"/>
      <c r="J95" s="4"/>
      <c r="K95" s="4"/>
      <c r="L95" s="40"/>
      <c r="M95" s="4"/>
      <c r="N95" s="3"/>
      <c r="O95" s="4"/>
      <c r="P95" s="4"/>
      <c r="Q95" s="4"/>
    </row>
    <row r="96" ht="15.75" customHeight="1">
      <c r="A96" s="4"/>
      <c r="B96" s="3"/>
      <c r="C96" s="3"/>
      <c r="D96" s="4"/>
      <c r="E96" s="4"/>
      <c r="F96" s="4"/>
      <c r="G96" s="4"/>
      <c r="H96" s="5"/>
      <c r="I96" s="5"/>
      <c r="J96" s="4"/>
      <c r="K96" s="4"/>
      <c r="L96" s="40"/>
      <c r="M96" s="4"/>
      <c r="N96" s="3"/>
      <c r="O96" s="4"/>
      <c r="P96" s="4"/>
      <c r="Q96" s="4"/>
    </row>
    <row r="97" ht="15.75" customHeight="1">
      <c r="A97" s="4"/>
      <c r="B97" s="3"/>
      <c r="C97" s="3"/>
      <c r="D97" s="4"/>
      <c r="E97" s="4"/>
      <c r="F97" s="4"/>
      <c r="G97" s="4"/>
      <c r="H97" s="5"/>
      <c r="I97" s="5"/>
      <c r="J97" s="4"/>
      <c r="K97" s="4"/>
      <c r="L97" s="40"/>
      <c r="M97" s="4"/>
      <c r="N97" s="3"/>
      <c r="O97" s="4"/>
      <c r="P97" s="4"/>
      <c r="Q97" s="4"/>
    </row>
    <row r="98" ht="15.75" customHeight="1">
      <c r="A98" s="4"/>
      <c r="B98" s="3"/>
      <c r="C98" s="3"/>
      <c r="D98" s="4"/>
      <c r="E98" s="4"/>
      <c r="F98" s="4"/>
      <c r="G98" s="4"/>
      <c r="H98" s="5"/>
      <c r="I98" s="5"/>
      <c r="J98" s="4"/>
      <c r="K98" s="4"/>
      <c r="L98" s="40"/>
      <c r="M98" s="4"/>
      <c r="N98" s="3"/>
      <c r="O98" s="4"/>
      <c r="P98" s="4"/>
      <c r="Q98" s="4"/>
    </row>
    <row r="99" ht="15.75" customHeight="1">
      <c r="A99" s="4"/>
      <c r="B99" s="3"/>
      <c r="C99" s="3"/>
      <c r="D99" s="4"/>
      <c r="E99" s="4"/>
      <c r="F99" s="4"/>
      <c r="G99" s="4"/>
      <c r="H99" s="5"/>
      <c r="I99" s="5"/>
      <c r="J99" s="4"/>
      <c r="K99" s="4"/>
      <c r="L99" s="40"/>
      <c r="M99" s="4"/>
      <c r="N99" s="3"/>
      <c r="O99" s="4"/>
      <c r="P99" s="4"/>
      <c r="Q99" s="4"/>
    </row>
    <row r="100" ht="15.75" customHeight="1">
      <c r="A100" s="4"/>
      <c r="B100" s="3"/>
      <c r="C100" s="3"/>
      <c r="D100" s="4"/>
      <c r="E100" s="4"/>
      <c r="F100" s="4"/>
      <c r="G100" s="4"/>
      <c r="H100" s="5"/>
      <c r="I100" s="5"/>
      <c r="J100" s="4"/>
      <c r="K100" s="4"/>
      <c r="L100" s="40"/>
      <c r="M100" s="4"/>
      <c r="N100" s="3"/>
      <c r="O100" s="4"/>
      <c r="P100" s="4"/>
      <c r="Q100" s="4"/>
    </row>
    <row r="101" ht="15.75" customHeight="1">
      <c r="A101" s="4"/>
      <c r="B101" s="3"/>
      <c r="C101" s="3"/>
      <c r="D101" s="4"/>
      <c r="E101" s="4"/>
      <c r="F101" s="4"/>
      <c r="G101" s="4"/>
      <c r="H101" s="5"/>
      <c r="I101" s="5"/>
      <c r="J101" s="4"/>
      <c r="K101" s="4"/>
      <c r="L101" s="40"/>
      <c r="M101" s="4"/>
      <c r="N101" s="3"/>
      <c r="O101" s="4"/>
      <c r="P101" s="4"/>
      <c r="Q101" s="4"/>
    </row>
    <row r="102" ht="15.75" customHeight="1">
      <c r="A102" s="4"/>
      <c r="B102" s="3"/>
      <c r="C102" s="3"/>
      <c r="D102" s="4"/>
      <c r="E102" s="4"/>
      <c r="F102" s="4"/>
      <c r="G102" s="4"/>
      <c r="H102" s="5"/>
      <c r="I102" s="5"/>
      <c r="J102" s="4"/>
      <c r="K102" s="4"/>
      <c r="L102" s="40"/>
      <c r="M102" s="4"/>
      <c r="N102" s="3"/>
      <c r="O102" s="4"/>
      <c r="P102" s="4"/>
      <c r="Q102" s="4"/>
    </row>
    <row r="103" ht="15.75" customHeight="1">
      <c r="A103" s="4"/>
      <c r="B103" s="3"/>
      <c r="C103" s="3"/>
      <c r="D103" s="4"/>
      <c r="E103" s="4"/>
      <c r="F103" s="4"/>
      <c r="G103" s="4"/>
      <c r="H103" s="5"/>
      <c r="I103" s="5"/>
      <c r="J103" s="4"/>
      <c r="K103" s="4"/>
      <c r="L103" s="40"/>
      <c r="M103" s="4"/>
      <c r="N103" s="3"/>
      <c r="O103" s="4"/>
      <c r="P103" s="4"/>
      <c r="Q103" s="4"/>
    </row>
    <row r="104" ht="15.75" customHeight="1">
      <c r="A104" s="4"/>
      <c r="B104" s="3"/>
      <c r="C104" s="3"/>
      <c r="D104" s="4"/>
      <c r="E104" s="4"/>
      <c r="F104" s="4"/>
      <c r="G104" s="4"/>
      <c r="H104" s="5"/>
      <c r="I104" s="5"/>
      <c r="J104" s="4"/>
      <c r="K104" s="4"/>
      <c r="L104" s="40"/>
      <c r="M104" s="4"/>
      <c r="N104" s="3"/>
      <c r="O104" s="4"/>
      <c r="P104" s="4"/>
      <c r="Q104" s="4"/>
    </row>
    <row r="105" ht="15.75" customHeight="1">
      <c r="A105" s="4"/>
      <c r="B105" s="3"/>
      <c r="C105" s="3"/>
      <c r="D105" s="4"/>
      <c r="E105" s="4"/>
      <c r="F105" s="4"/>
      <c r="G105" s="4"/>
      <c r="H105" s="5"/>
      <c r="I105" s="5"/>
      <c r="J105" s="4"/>
      <c r="K105" s="4"/>
      <c r="L105" s="40"/>
      <c r="M105" s="4"/>
      <c r="N105" s="3"/>
      <c r="O105" s="4"/>
      <c r="P105" s="4"/>
      <c r="Q105" s="4"/>
    </row>
    <row r="106" ht="15.75" customHeight="1">
      <c r="A106" s="4"/>
      <c r="B106" s="3"/>
      <c r="C106" s="3"/>
      <c r="D106" s="4"/>
      <c r="E106" s="4"/>
      <c r="F106" s="4"/>
      <c r="G106" s="4"/>
      <c r="H106" s="5"/>
      <c r="I106" s="5"/>
      <c r="J106" s="4"/>
      <c r="K106" s="4"/>
      <c r="L106" s="40"/>
      <c r="M106" s="4"/>
      <c r="N106" s="3"/>
      <c r="O106" s="4"/>
      <c r="P106" s="4"/>
      <c r="Q106" s="4"/>
    </row>
    <row r="107" ht="15.75" customHeight="1">
      <c r="A107" s="4"/>
      <c r="B107" s="3"/>
      <c r="C107" s="3"/>
      <c r="D107" s="4"/>
      <c r="E107" s="4"/>
      <c r="F107" s="4"/>
      <c r="G107" s="4"/>
      <c r="H107" s="5"/>
      <c r="I107" s="5"/>
      <c r="J107" s="4"/>
      <c r="K107" s="4"/>
      <c r="L107" s="40"/>
      <c r="M107" s="4"/>
      <c r="N107" s="3"/>
      <c r="O107" s="4"/>
      <c r="P107" s="4"/>
      <c r="Q107" s="4"/>
    </row>
    <row r="108" ht="15.75" customHeight="1">
      <c r="A108" s="4"/>
      <c r="B108" s="3"/>
      <c r="C108" s="3"/>
      <c r="D108" s="4"/>
      <c r="E108" s="4"/>
      <c r="F108" s="4"/>
      <c r="G108" s="4"/>
      <c r="H108" s="5"/>
      <c r="I108" s="5"/>
      <c r="J108" s="4"/>
      <c r="K108" s="4"/>
      <c r="L108" s="40"/>
      <c r="M108" s="4"/>
      <c r="N108" s="3"/>
      <c r="O108" s="4"/>
      <c r="P108" s="4"/>
      <c r="Q108" s="4"/>
    </row>
    <row r="109" ht="15.75" customHeight="1">
      <c r="A109" s="4"/>
      <c r="B109" s="3"/>
      <c r="C109" s="3"/>
      <c r="D109" s="4"/>
      <c r="E109" s="4"/>
      <c r="F109" s="4"/>
      <c r="G109" s="4"/>
      <c r="H109" s="5"/>
      <c r="I109" s="5"/>
      <c r="J109" s="4"/>
      <c r="K109" s="4"/>
      <c r="L109" s="40"/>
      <c r="M109" s="4"/>
      <c r="N109" s="3"/>
      <c r="O109" s="4"/>
      <c r="P109" s="4"/>
      <c r="Q109" s="4"/>
    </row>
    <row r="110" ht="15.75" customHeight="1">
      <c r="A110" s="4"/>
      <c r="B110" s="3"/>
      <c r="C110" s="3"/>
      <c r="D110" s="4"/>
      <c r="E110" s="4"/>
      <c r="F110" s="4"/>
      <c r="G110" s="4"/>
      <c r="H110" s="5"/>
      <c r="I110" s="5"/>
      <c r="J110" s="4"/>
      <c r="K110" s="4"/>
      <c r="L110" s="40"/>
      <c r="M110" s="4"/>
      <c r="N110" s="3"/>
      <c r="O110" s="4"/>
      <c r="P110" s="4"/>
      <c r="Q110" s="4"/>
    </row>
    <row r="111" ht="15.75" customHeight="1">
      <c r="A111" s="4"/>
      <c r="B111" s="3"/>
      <c r="C111" s="3"/>
      <c r="D111" s="4"/>
      <c r="E111" s="4"/>
      <c r="F111" s="4"/>
      <c r="G111" s="4"/>
      <c r="H111" s="5"/>
      <c r="I111" s="5"/>
      <c r="J111" s="4"/>
      <c r="K111" s="4"/>
      <c r="L111" s="40"/>
      <c r="M111" s="4"/>
      <c r="N111" s="3"/>
      <c r="O111" s="4"/>
      <c r="P111" s="4"/>
      <c r="Q111" s="4"/>
    </row>
    <row r="112" ht="15.75" customHeight="1">
      <c r="A112" s="4"/>
      <c r="B112" s="3"/>
      <c r="C112" s="3"/>
      <c r="D112" s="4"/>
      <c r="E112" s="4"/>
      <c r="F112" s="4"/>
      <c r="G112" s="4"/>
      <c r="H112" s="5"/>
      <c r="I112" s="5"/>
      <c r="J112" s="4"/>
      <c r="K112" s="4"/>
      <c r="L112" s="40"/>
      <c r="M112" s="4"/>
      <c r="N112" s="3"/>
      <c r="O112" s="4"/>
      <c r="P112" s="4"/>
      <c r="Q112" s="4"/>
    </row>
    <row r="113" ht="15.75" customHeight="1">
      <c r="A113" s="4"/>
      <c r="B113" s="3"/>
      <c r="C113" s="3"/>
      <c r="D113" s="4"/>
      <c r="E113" s="4"/>
      <c r="F113" s="4"/>
      <c r="G113" s="4"/>
      <c r="H113" s="5"/>
      <c r="I113" s="5"/>
      <c r="J113" s="4"/>
      <c r="K113" s="4"/>
      <c r="L113" s="40"/>
      <c r="M113" s="4"/>
      <c r="N113" s="3"/>
      <c r="O113" s="4"/>
      <c r="P113" s="4"/>
      <c r="Q113" s="4"/>
    </row>
    <row r="114" ht="15.75" customHeight="1">
      <c r="A114" s="4"/>
      <c r="B114" s="3"/>
      <c r="C114" s="3"/>
      <c r="D114" s="4"/>
      <c r="E114" s="4"/>
      <c r="F114" s="4"/>
      <c r="G114" s="4"/>
      <c r="H114" s="5"/>
      <c r="I114" s="5"/>
      <c r="J114" s="4"/>
      <c r="K114" s="4"/>
      <c r="L114" s="40"/>
      <c r="M114" s="4"/>
      <c r="N114" s="3"/>
      <c r="O114" s="4"/>
      <c r="P114" s="4"/>
      <c r="Q114" s="4"/>
    </row>
    <row r="115" ht="15.75" customHeight="1">
      <c r="A115" s="4"/>
      <c r="B115" s="3"/>
      <c r="C115" s="3"/>
      <c r="D115" s="4"/>
      <c r="E115" s="4"/>
      <c r="F115" s="4"/>
      <c r="G115" s="4"/>
      <c r="H115" s="5"/>
      <c r="I115" s="5"/>
      <c r="J115" s="4"/>
      <c r="K115" s="4"/>
      <c r="L115" s="40"/>
      <c r="M115" s="4"/>
      <c r="N115" s="3"/>
      <c r="O115" s="4"/>
      <c r="P115" s="4"/>
      <c r="Q115" s="4"/>
    </row>
    <row r="116" ht="15.75" customHeight="1">
      <c r="A116" s="4"/>
      <c r="B116" s="3"/>
      <c r="C116" s="3"/>
      <c r="D116" s="4"/>
      <c r="E116" s="4"/>
      <c r="F116" s="4"/>
      <c r="G116" s="4"/>
      <c r="H116" s="5"/>
      <c r="I116" s="5"/>
      <c r="J116" s="4"/>
      <c r="K116" s="4"/>
      <c r="L116" s="40"/>
      <c r="M116" s="4"/>
      <c r="N116" s="3"/>
      <c r="O116" s="4"/>
      <c r="P116" s="4"/>
      <c r="Q116" s="4"/>
    </row>
    <row r="117" ht="15.75" customHeight="1">
      <c r="A117" s="4"/>
      <c r="B117" s="3"/>
      <c r="C117" s="3"/>
      <c r="D117" s="4"/>
      <c r="E117" s="4"/>
      <c r="F117" s="4"/>
      <c r="G117" s="4"/>
      <c r="H117" s="5"/>
      <c r="I117" s="5"/>
      <c r="J117" s="4"/>
      <c r="K117" s="4"/>
      <c r="L117" s="40"/>
      <c r="M117" s="4"/>
      <c r="N117" s="3"/>
      <c r="O117" s="4"/>
      <c r="P117" s="4"/>
      <c r="Q117" s="4"/>
    </row>
    <row r="118" ht="15.75" customHeight="1">
      <c r="A118" s="4"/>
      <c r="B118" s="3"/>
      <c r="C118" s="3"/>
      <c r="D118" s="4"/>
      <c r="E118" s="4"/>
      <c r="F118" s="4"/>
      <c r="G118" s="4"/>
      <c r="H118" s="5"/>
      <c r="I118" s="5"/>
      <c r="J118" s="4"/>
      <c r="K118" s="4"/>
      <c r="L118" s="40"/>
      <c r="M118" s="4"/>
      <c r="N118" s="3"/>
      <c r="O118" s="4"/>
      <c r="P118" s="4"/>
      <c r="Q118" s="4"/>
    </row>
    <row r="119" ht="15.75" customHeight="1">
      <c r="A119" s="4"/>
      <c r="B119" s="3"/>
      <c r="C119" s="3"/>
      <c r="D119" s="4"/>
      <c r="E119" s="4"/>
      <c r="F119" s="4"/>
      <c r="G119" s="4"/>
      <c r="H119" s="5"/>
      <c r="I119" s="5"/>
      <c r="J119" s="4"/>
      <c r="K119" s="4"/>
      <c r="L119" s="40"/>
      <c r="M119" s="4"/>
      <c r="N119" s="3"/>
      <c r="O119" s="4"/>
      <c r="P119" s="4"/>
      <c r="Q119" s="4"/>
    </row>
    <row r="120" ht="15.75" customHeight="1">
      <c r="A120" s="4"/>
      <c r="B120" s="3"/>
      <c r="C120" s="3"/>
      <c r="D120" s="4"/>
      <c r="E120" s="4"/>
      <c r="F120" s="4"/>
      <c r="G120" s="4"/>
      <c r="H120" s="5"/>
      <c r="I120" s="5"/>
      <c r="J120" s="4"/>
      <c r="K120" s="4"/>
      <c r="L120" s="40"/>
      <c r="M120" s="4"/>
      <c r="N120" s="3"/>
      <c r="O120" s="4"/>
      <c r="P120" s="4"/>
      <c r="Q120" s="4"/>
    </row>
    <row r="121" ht="15.75" customHeight="1">
      <c r="A121" s="4"/>
      <c r="B121" s="3"/>
      <c r="C121" s="3"/>
      <c r="D121" s="4"/>
      <c r="E121" s="4"/>
      <c r="F121" s="4"/>
      <c r="G121" s="4"/>
      <c r="H121" s="5"/>
      <c r="I121" s="5"/>
      <c r="J121" s="4"/>
      <c r="K121" s="4"/>
      <c r="L121" s="40"/>
      <c r="M121" s="4"/>
      <c r="N121" s="3"/>
      <c r="O121" s="4"/>
      <c r="P121" s="4"/>
      <c r="Q121" s="4"/>
    </row>
    <row r="122" ht="15.75" customHeight="1">
      <c r="A122" s="4"/>
      <c r="B122" s="3"/>
      <c r="C122" s="3"/>
      <c r="D122" s="4"/>
      <c r="E122" s="4"/>
      <c r="F122" s="4"/>
      <c r="G122" s="4"/>
      <c r="H122" s="5"/>
      <c r="I122" s="5"/>
      <c r="J122" s="4"/>
      <c r="K122" s="4"/>
      <c r="L122" s="40"/>
      <c r="M122" s="4"/>
      <c r="N122" s="3"/>
      <c r="O122" s="4"/>
      <c r="P122" s="4"/>
      <c r="Q122" s="4"/>
    </row>
    <row r="123" ht="15.75" customHeight="1">
      <c r="A123" s="4"/>
      <c r="B123" s="3"/>
      <c r="C123" s="3"/>
      <c r="D123" s="4"/>
      <c r="E123" s="4"/>
      <c r="F123" s="4"/>
      <c r="G123" s="4"/>
      <c r="H123" s="5"/>
      <c r="I123" s="5"/>
      <c r="J123" s="4"/>
      <c r="K123" s="4"/>
      <c r="L123" s="40"/>
      <c r="M123" s="4"/>
      <c r="N123" s="3"/>
      <c r="O123" s="4"/>
      <c r="P123" s="4"/>
      <c r="Q123" s="4"/>
    </row>
    <row r="124" ht="15.75" customHeight="1">
      <c r="A124" s="4"/>
      <c r="B124" s="3"/>
      <c r="C124" s="3"/>
      <c r="D124" s="4"/>
      <c r="E124" s="4"/>
      <c r="F124" s="4"/>
      <c r="G124" s="4"/>
      <c r="H124" s="5"/>
      <c r="I124" s="5"/>
      <c r="J124" s="4"/>
      <c r="K124" s="4"/>
      <c r="L124" s="40"/>
      <c r="M124" s="4"/>
      <c r="N124" s="3"/>
      <c r="O124" s="4"/>
      <c r="P124" s="4"/>
      <c r="Q124" s="4"/>
    </row>
    <row r="125" ht="15.75" customHeight="1">
      <c r="A125" s="4"/>
      <c r="B125" s="3"/>
      <c r="C125" s="3"/>
      <c r="D125" s="4"/>
      <c r="E125" s="4"/>
      <c r="F125" s="4"/>
      <c r="G125" s="4"/>
      <c r="H125" s="5"/>
      <c r="I125" s="5"/>
      <c r="J125" s="4"/>
      <c r="K125" s="4"/>
      <c r="L125" s="40"/>
      <c r="M125" s="4"/>
      <c r="N125" s="3"/>
      <c r="O125" s="4"/>
      <c r="P125" s="4"/>
      <c r="Q125" s="4"/>
    </row>
    <row r="126" ht="15.75" customHeight="1">
      <c r="A126" s="4"/>
      <c r="B126" s="3"/>
      <c r="C126" s="3"/>
      <c r="D126" s="4"/>
      <c r="E126" s="4"/>
      <c r="F126" s="4"/>
      <c r="G126" s="4"/>
      <c r="H126" s="5"/>
      <c r="I126" s="5"/>
      <c r="J126" s="4"/>
      <c r="K126" s="4"/>
      <c r="L126" s="40"/>
      <c r="M126" s="4"/>
      <c r="N126" s="3"/>
      <c r="O126" s="4"/>
      <c r="P126" s="4"/>
      <c r="Q126" s="4"/>
    </row>
    <row r="127" ht="15.75" customHeight="1">
      <c r="A127" s="4"/>
      <c r="B127" s="3"/>
      <c r="C127" s="3"/>
      <c r="D127" s="4"/>
      <c r="E127" s="4"/>
      <c r="F127" s="4"/>
      <c r="G127" s="4"/>
      <c r="H127" s="5"/>
      <c r="I127" s="5"/>
      <c r="J127" s="4"/>
      <c r="K127" s="4"/>
      <c r="L127" s="40"/>
      <c r="M127" s="4"/>
      <c r="N127" s="3"/>
      <c r="O127" s="4"/>
      <c r="P127" s="4"/>
      <c r="Q127" s="4"/>
    </row>
    <row r="128" ht="15.75" customHeight="1">
      <c r="A128" s="4"/>
      <c r="B128" s="3"/>
      <c r="C128" s="3"/>
      <c r="D128" s="4"/>
      <c r="E128" s="4"/>
      <c r="F128" s="4"/>
      <c r="G128" s="4"/>
      <c r="H128" s="5"/>
      <c r="I128" s="5"/>
      <c r="J128" s="4"/>
      <c r="K128" s="4"/>
      <c r="L128" s="40"/>
      <c r="M128" s="4"/>
      <c r="N128" s="3"/>
      <c r="O128" s="4"/>
      <c r="P128" s="4"/>
      <c r="Q128" s="4"/>
    </row>
    <row r="129" ht="15.75" customHeight="1">
      <c r="A129" s="4"/>
      <c r="B129" s="3"/>
      <c r="C129" s="3"/>
      <c r="D129" s="4"/>
      <c r="E129" s="4"/>
      <c r="F129" s="4"/>
      <c r="G129" s="4"/>
      <c r="H129" s="5"/>
      <c r="I129" s="5"/>
      <c r="J129" s="4"/>
      <c r="K129" s="4"/>
      <c r="L129" s="40"/>
      <c r="M129" s="4"/>
      <c r="N129" s="3"/>
      <c r="O129" s="4"/>
      <c r="P129" s="4"/>
      <c r="Q129" s="4"/>
    </row>
    <row r="130" ht="15.75" customHeight="1">
      <c r="A130" s="4"/>
      <c r="B130" s="3"/>
      <c r="C130" s="3"/>
      <c r="D130" s="4"/>
      <c r="E130" s="4"/>
      <c r="F130" s="4"/>
      <c r="G130" s="4"/>
      <c r="H130" s="5"/>
      <c r="I130" s="5"/>
      <c r="J130" s="4"/>
      <c r="K130" s="4"/>
      <c r="L130" s="40"/>
      <c r="M130" s="4"/>
      <c r="N130" s="3"/>
      <c r="O130" s="4"/>
      <c r="P130" s="4"/>
      <c r="Q130" s="4"/>
    </row>
    <row r="131" ht="15.75" customHeight="1">
      <c r="A131" s="4"/>
      <c r="B131" s="3"/>
      <c r="C131" s="3"/>
      <c r="D131" s="4"/>
      <c r="E131" s="4"/>
      <c r="F131" s="4"/>
      <c r="G131" s="4"/>
      <c r="H131" s="5"/>
      <c r="I131" s="5"/>
      <c r="J131" s="4"/>
      <c r="K131" s="4"/>
      <c r="L131" s="40"/>
      <c r="M131" s="4"/>
      <c r="N131" s="3"/>
      <c r="O131" s="4"/>
      <c r="P131" s="4"/>
      <c r="Q131" s="4"/>
    </row>
    <row r="132" ht="15.75" customHeight="1">
      <c r="A132" s="4"/>
      <c r="B132" s="3"/>
      <c r="C132" s="3"/>
      <c r="D132" s="4"/>
      <c r="E132" s="4"/>
      <c r="F132" s="4"/>
      <c r="G132" s="4"/>
      <c r="H132" s="5"/>
      <c r="I132" s="5"/>
      <c r="J132" s="4"/>
      <c r="K132" s="4"/>
      <c r="L132" s="40"/>
      <c r="M132" s="4"/>
      <c r="N132" s="3"/>
      <c r="O132" s="4"/>
      <c r="P132" s="4"/>
      <c r="Q132" s="4"/>
    </row>
    <row r="133" ht="15.75" customHeight="1">
      <c r="A133" s="4"/>
      <c r="B133" s="3"/>
      <c r="C133" s="3"/>
      <c r="D133" s="4"/>
      <c r="E133" s="4"/>
      <c r="F133" s="4"/>
      <c r="G133" s="4"/>
      <c r="H133" s="5"/>
      <c r="I133" s="5"/>
      <c r="J133" s="4"/>
      <c r="K133" s="4"/>
      <c r="L133" s="40"/>
      <c r="M133" s="4"/>
      <c r="N133" s="3"/>
      <c r="O133" s="4"/>
      <c r="P133" s="4"/>
      <c r="Q133" s="4"/>
    </row>
    <row r="134" ht="15.75" customHeight="1">
      <c r="A134" s="4"/>
      <c r="B134" s="3"/>
      <c r="C134" s="3"/>
      <c r="D134" s="4"/>
      <c r="E134" s="4"/>
      <c r="F134" s="4"/>
      <c r="G134" s="4"/>
      <c r="H134" s="5"/>
      <c r="I134" s="5"/>
      <c r="J134" s="4"/>
      <c r="K134" s="4"/>
      <c r="L134" s="40"/>
      <c r="M134" s="4"/>
      <c r="N134" s="3"/>
      <c r="O134" s="4"/>
      <c r="P134" s="4"/>
      <c r="Q134" s="4"/>
    </row>
    <row r="135" ht="15.75" customHeight="1">
      <c r="A135" s="4"/>
      <c r="B135" s="3"/>
      <c r="C135" s="3"/>
      <c r="D135" s="4"/>
      <c r="E135" s="4"/>
      <c r="F135" s="4"/>
      <c r="G135" s="4"/>
      <c r="H135" s="5"/>
      <c r="I135" s="5"/>
      <c r="J135" s="4"/>
      <c r="K135" s="4"/>
      <c r="L135" s="40"/>
      <c r="M135" s="4"/>
      <c r="N135" s="3"/>
      <c r="O135" s="4"/>
      <c r="P135" s="4"/>
      <c r="Q135" s="4"/>
    </row>
    <row r="136" ht="15.75" customHeight="1">
      <c r="A136" s="4"/>
      <c r="B136" s="3"/>
      <c r="C136" s="3"/>
      <c r="D136" s="4"/>
      <c r="E136" s="4"/>
      <c r="F136" s="4"/>
      <c r="G136" s="4"/>
      <c r="H136" s="5"/>
      <c r="I136" s="5"/>
      <c r="J136" s="4"/>
      <c r="K136" s="4"/>
      <c r="L136" s="40"/>
      <c r="M136" s="4"/>
      <c r="N136" s="3"/>
      <c r="O136" s="4"/>
      <c r="P136" s="4"/>
      <c r="Q136" s="4"/>
    </row>
    <row r="137" ht="15.75" customHeight="1">
      <c r="A137" s="4"/>
      <c r="B137" s="3"/>
      <c r="C137" s="3"/>
      <c r="D137" s="4"/>
      <c r="E137" s="4"/>
      <c r="F137" s="4"/>
      <c r="G137" s="4"/>
      <c r="H137" s="5"/>
      <c r="I137" s="5"/>
      <c r="J137" s="4"/>
      <c r="K137" s="4"/>
      <c r="L137" s="40"/>
      <c r="M137" s="4"/>
      <c r="N137" s="3"/>
      <c r="O137" s="4"/>
      <c r="P137" s="4"/>
      <c r="Q137" s="4"/>
    </row>
    <row r="138" ht="15.75" customHeight="1">
      <c r="A138" s="4"/>
      <c r="B138" s="3"/>
      <c r="C138" s="3"/>
      <c r="D138" s="4"/>
      <c r="E138" s="4"/>
      <c r="F138" s="4"/>
      <c r="G138" s="4"/>
      <c r="H138" s="5"/>
      <c r="I138" s="5"/>
      <c r="J138" s="4"/>
      <c r="K138" s="4"/>
      <c r="L138" s="40"/>
      <c r="M138" s="4"/>
      <c r="N138" s="3"/>
      <c r="O138" s="4"/>
      <c r="P138" s="4"/>
      <c r="Q138" s="4"/>
    </row>
    <row r="139" ht="15.75" customHeight="1">
      <c r="A139" s="4"/>
      <c r="B139" s="3"/>
      <c r="C139" s="3"/>
      <c r="D139" s="4"/>
      <c r="E139" s="4"/>
      <c r="F139" s="4"/>
      <c r="G139" s="4"/>
      <c r="H139" s="5"/>
      <c r="I139" s="5"/>
      <c r="J139" s="4"/>
      <c r="K139" s="4"/>
      <c r="L139" s="40"/>
      <c r="M139" s="4"/>
      <c r="N139" s="3"/>
      <c r="O139" s="4"/>
      <c r="P139" s="4"/>
      <c r="Q139" s="4"/>
    </row>
    <row r="140" ht="15.75" customHeight="1">
      <c r="A140" s="4"/>
      <c r="B140" s="3"/>
      <c r="C140" s="3"/>
      <c r="D140" s="4"/>
      <c r="E140" s="4"/>
      <c r="F140" s="4"/>
      <c r="G140" s="4"/>
      <c r="H140" s="5"/>
      <c r="I140" s="5"/>
      <c r="J140" s="4"/>
      <c r="K140" s="4"/>
      <c r="L140" s="40"/>
      <c r="M140" s="4"/>
      <c r="N140" s="3"/>
      <c r="O140" s="4"/>
      <c r="P140" s="4"/>
      <c r="Q140" s="4"/>
    </row>
    <row r="141" ht="15.75" customHeight="1">
      <c r="A141" s="4"/>
      <c r="B141" s="3"/>
      <c r="C141" s="3"/>
      <c r="D141" s="4"/>
      <c r="E141" s="4"/>
      <c r="F141" s="4"/>
      <c r="G141" s="4"/>
      <c r="H141" s="5"/>
      <c r="I141" s="5"/>
      <c r="J141" s="4"/>
      <c r="K141" s="4"/>
      <c r="L141" s="40"/>
      <c r="M141" s="4"/>
      <c r="N141" s="3"/>
      <c r="O141" s="4"/>
      <c r="P141" s="4"/>
      <c r="Q141" s="4"/>
    </row>
    <row r="142" ht="15.75" customHeight="1">
      <c r="A142" s="4"/>
      <c r="B142" s="3"/>
      <c r="C142" s="3"/>
      <c r="D142" s="4"/>
      <c r="E142" s="4"/>
      <c r="F142" s="4"/>
      <c r="G142" s="4"/>
      <c r="H142" s="5"/>
      <c r="I142" s="5"/>
      <c r="J142" s="4"/>
      <c r="K142" s="4"/>
      <c r="L142" s="40"/>
      <c r="M142" s="4"/>
      <c r="N142" s="3"/>
      <c r="O142" s="4"/>
      <c r="P142" s="4"/>
      <c r="Q142" s="4"/>
    </row>
    <row r="143" ht="15.75" customHeight="1">
      <c r="A143" s="4"/>
      <c r="B143" s="3"/>
      <c r="C143" s="3"/>
      <c r="D143" s="4"/>
      <c r="E143" s="4"/>
      <c r="F143" s="4"/>
      <c r="G143" s="4"/>
      <c r="H143" s="5"/>
      <c r="I143" s="5"/>
      <c r="J143" s="4"/>
      <c r="K143" s="4"/>
      <c r="L143" s="40"/>
      <c r="M143" s="4"/>
      <c r="N143" s="3"/>
      <c r="O143" s="4"/>
      <c r="P143" s="4"/>
      <c r="Q143" s="4"/>
    </row>
    <row r="144" ht="15.75" customHeight="1">
      <c r="A144" s="4"/>
      <c r="B144" s="3"/>
      <c r="C144" s="3"/>
      <c r="D144" s="4"/>
      <c r="E144" s="4"/>
      <c r="F144" s="4"/>
      <c r="G144" s="4"/>
      <c r="H144" s="5"/>
      <c r="I144" s="5"/>
      <c r="J144" s="4"/>
      <c r="K144" s="4"/>
      <c r="L144" s="40"/>
      <c r="M144" s="4"/>
      <c r="N144" s="3"/>
      <c r="O144" s="4"/>
      <c r="P144" s="4"/>
      <c r="Q144" s="4"/>
    </row>
    <row r="145" ht="15.75" customHeight="1">
      <c r="A145" s="4"/>
      <c r="B145" s="3"/>
      <c r="C145" s="3"/>
      <c r="D145" s="4"/>
      <c r="E145" s="4"/>
      <c r="F145" s="4"/>
      <c r="G145" s="4"/>
      <c r="H145" s="5"/>
      <c r="I145" s="5"/>
      <c r="J145" s="4"/>
      <c r="K145" s="4"/>
      <c r="L145" s="40"/>
      <c r="M145" s="4"/>
      <c r="N145" s="3"/>
      <c r="O145" s="4"/>
      <c r="P145" s="4"/>
      <c r="Q145" s="4"/>
    </row>
    <row r="146" ht="15.75" customHeight="1">
      <c r="A146" s="4"/>
      <c r="B146" s="3"/>
      <c r="C146" s="3"/>
      <c r="D146" s="4"/>
      <c r="E146" s="4"/>
      <c r="F146" s="4"/>
      <c r="G146" s="4"/>
      <c r="H146" s="5"/>
      <c r="I146" s="5"/>
      <c r="J146" s="4"/>
      <c r="K146" s="4"/>
      <c r="L146" s="40"/>
      <c r="M146" s="4"/>
      <c r="N146" s="3"/>
      <c r="O146" s="4"/>
      <c r="P146" s="4"/>
      <c r="Q146" s="4"/>
    </row>
    <row r="147" ht="15.75" customHeight="1">
      <c r="A147" s="4"/>
      <c r="B147" s="3"/>
      <c r="C147" s="3"/>
      <c r="D147" s="4"/>
      <c r="E147" s="4"/>
      <c r="F147" s="4"/>
      <c r="G147" s="4"/>
      <c r="H147" s="5"/>
      <c r="I147" s="5"/>
      <c r="J147" s="4"/>
      <c r="K147" s="4"/>
      <c r="L147" s="40"/>
      <c r="M147" s="4"/>
      <c r="N147" s="3"/>
      <c r="O147" s="4"/>
      <c r="P147" s="4"/>
      <c r="Q147" s="4"/>
    </row>
    <row r="148" ht="15.75" customHeight="1">
      <c r="A148" s="4"/>
      <c r="B148" s="3"/>
      <c r="C148" s="3"/>
      <c r="D148" s="4"/>
      <c r="E148" s="4"/>
      <c r="F148" s="4"/>
      <c r="G148" s="4"/>
      <c r="H148" s="5"/>
      <c r="I148" s="5"/>
      <c r="J148" s="4"/>
      <c r="K148" s="4"/>
      <c r="L148" s="40"/>
      <c r="M148" s="4"/>
      <c r="N148" s="3"/>
      <c r="O148" s="4"/>
      <c r="P148" s="4"/>
      <c r="Q148" s="4"/>
    </row>
    <row r="149" ht="15.75" customHeight="1">
      <c r="A149" s="4"/>
      <c r="B149" s="3"/>
      <c r="C149" s="3"/>
      <c r="D149" s="4"/>
      <c r="E149" s="4"/>
      <c r="F149" s="4"/>
      <c r="G149" s="4"/>
      <c r="H149" s="5"/>
      <c r="I149" s="5"/>
      <c r="J149" s="4"/>
      <c r="K149" s="4"/>
      <c r="L149" s="40"/>
      <c r="M149" s="4"/>
      <c r="N149" s="3"/>
      <c r="O149" s="4"/>
      <c r="P149" s="4"/>
      <c r="Q149" s="4"/>
    </row>
    <row r="150" ht="15.75" customHeight="1">
      <c r="A150" s="4"/>
      <c r="B150" s="3"/>
      <c r="C150" s="3"/>
      <c r="D150" s="4"/>
      <c r="E150" s="4"/>
      <c r="F150" s="4"/>
      <c r="G150" s="4"/>
      <c r="H150" s="5"/>
      <c r="I150" s="5"/>
      <c r="J150" s="4"/>
      <c r="K150" s="4"/>
      <c r="L150" s="40"/>
      <c r="M150" s="4"/>
      <c r="N150" s="3"/>
      <c r="O150" s="4"/>
      <c r="P150" s="4"/>
      <c r="Q150" s="4"/>
    </row>
    <row r="151" ht="15.75" customHeight="1">
      <c r="A151" s="4"/>
      <c r="B151" s="3"/>
      <c r="C151" s="3"/>
      <c r="D151" s="4"/>
      <c r="E151" s="4"/>
      <c r="F151" s="4"/>
      <c r="G151" s="4"/>
      <c r="H151" s="5"/>
      <c r="I151" s="5"/>
      <c r="J151" s="4"/>
      <c r="K151" s="4"/>
      <c r="L151" s="40"/>
      <c r="M151" s="4"/>
      <c r="N151" s="3"/>
      <c r="O151" s="4"/>
      <c r="P151" s="4"/>
      <c r="Q151" s="4"/>
    </row>
    <row r="152" ht="15.75" customHeight="1">
      <c r="A152" s="4"/>
      <c r="B152" s="3"/>
      <c r="C152" s="3"/>
      <c r="D152" s="4"/>
      <c r="E152" s="4"/>
      <c r="F152" s="4"/>
      <c r="G152" s="4"/>
      <c r="H152" s="5"/>
      <c r="I152" s="5"/>
      <c r="J152" s="4"/>
      <c r="K152" s="4"/>
      <c r="L152" s="40"/>
      <c r="M152" s="4"/>
      <c r="N152" s="3"/>
      <c r="O152" s="4"/>
      <c r="P152" s="4"/>
      <c r="Q152" s="4"/>
    </row>
    <row r="153" ht="15.75" customHeight="1">
      <c r="A153" s="4"/>
      <c r="B153" s="3"/>
      <c r="C153" s="3"/>
      <c r="D153" s="4"/>
      <c r="E153" s="4"/>
      <c r="F153" s="4"/>
      <c r="G153" s="4"/>
      <c r="H153" s="5"/>
      <c r="I153" s="5"/>
      <c r="J153" s="4"/>
      <c r="K153" s="4"/>
      <c r="L153" s="40"/>
      <c r="M153" s="4"/>
      <c r="N153" s="3"/>
      <c r="O153" s="4"/>
      <c r="P153" s="4"/>
      <c r="Q153" s="4"/>
    </row>
    <row r="154" ht="15.75" customHeight="1">
      <c r="A154" s="4"/>
      <c r="B154" s="3"/>
      <c r="C154" s="3"/>
      <c r="D154" s="4"/>
      <c r="E154" s="4"/>
      <c r="F154" s="4"/>
      <c r="G154" s="4"/>
      <c r="H154" s="5"/>
      <c r="I154" s="5"/>
      <c r="J154" s="4"/>
      <c r="K154" s="4"/>
      <c r="L154" s="40"/>
      <c r="M154" s="4"/>
      <c r="N154" s="3"/>
      <c r="O154" s="4"/>
      <c r="P154" s="4"/>
      <c r="Q154" s="4"/>
    </row>
    <row r="155" ht="15.75" customHeight="1">
      <c r="A155" s="4"/>
      <c r="B155" s="3"/>
      <c r="C155" s="3"/>
      <c r="D155" s="4"/>
      <c r="E155" s="4"/>
      <c r="F155" s="4"/>
      <c r="G155" s="4"/>
      <c r="H155" s="5"/>
      <c r="I155" s="5"/>
      <c r="J155" s="4"/>
      <c r="K155" s="4"/>
      <c r="L155" s="40"/>
      <c r="M155" s="4"/>
      <c r="N155" s="3"/>
      <c r="O155" s="4"/>
      <c r="P155" s="4"/>
      <c r="Q155" s="4"/>
    </row>
    <row r="156" ht="15.75" customHeight="1">
      <c r="A156" s="4"/>
      <c r="B156" s="3"/>
      <c r="C156" s="3"/>
      <c r="D156" s="4"/>
      <c r="E156" s="4"/>
      <c r="F156" s="4"/>
      <c r="G156" s="4"/>
      <c r="H156" s="5"/>
      <c r="I156" s="5"/>
      <c r="J156" s="4"/>
      <c r="K156" s="4"/>
      <c r="L156" s="40"/>
      <c r="M156" s="4"/>
      <c r="N156" s="3"/>
      <c r="O156" s="4"/>
      <c r="P156" s="4"/>
      <c r="Q156" s="4"/>
    </row>
    <row r="157" ht="15.75" customHeight="1">
      <c r="A157" s="4"/>
      <c r="B157" s="3"/>
      <c r="C157" s="3"/>
      <c r="D157" s="4"/>
      <c r="E157" s="4"/>
      <c r="F157" s="4"/>
      <c r="G157" s="4"/>
      <c r="H157" s="5"/>
      <c r="I157" s="5"/>
      <c r="J157" s="4"/>
      <c r="K157" s="4"/>
      <c r="L157" s="40"/>
      <c r="M157" s="4"/>
      <c r="N157" s="3"/>
      <c r="O157" s="4"/>
      <c r="P157" s="4"/>
      <c r="Q157" s="4"/>
    </row>
    <row r="158" ht="15.75" customHeight="1">
      <c r="A158" s="4"/>
      <c r="B158" s="3"/>
      <c r="C158" s="3"/>
      <c r="D158" s="4"/>
      <c r="E158" s="4"/>
      <c r="F158" s="4"/>
      <c r="G158" s="4"/>
      <c r="H158" s="5"/>
      <c r="I158" s="5"/>
      <c r="J158" s="4"/>
      <c r="K158" s="4"/>
      <c r="L158" s="40"/>
      <c r="M158" s="4"/>
      <c r="N158" s="3"/>
      <c r="O158" s="4"/>
      <c r="P158" s="4"/>
      <c r="Q158" s="4"/>
    </row>
    <row r="159" ht="15.75" customHeight="1">
      <c r="A159" s="4"/>
      <c r="B159" s="3"/>
      <c r="C159" s="3"/>
      <c r="D159" s="4"/>
      <c r="E159" s="4"/>
      <c r="F159" s="4"/>
      <c r="G159" s="4"/>
      <c r="H159" s="5"/>
      <c r="I159" s="5"/>
      <c r="J159" s="4"/>
      <c r="K159" s="4"/>
      <c r="L159" s="40"/>
      <c r="M159" s="4"/>
      <c r="N159" s="3"/>
      <c r="O159" s="4"/>
      <c r="P159" s="4"/>
      <c r="Q159" s="4"/>
    </row>
    <row r="160" ht="15.75" customHeight="1">
      <c r="A160" s="4"/>
      <c r="B160" s="3"/>
      <c r="C160" s="3"/>
      <c r="D160" s="4"/>
      <c r="E160" s="4"/>
      <c r="F160" s="4"/>
      <c r="G160" s="4"/>
      <c r="H160" s="5"/>
      <c r="I160" s="5"/>
      <c r="J160" s="4"/>
      <c r="K160" s="4"/>
      <c r="L160" s="40"/>
      <c r="M160" s="4"/>
      <c r="N160" s="3"/>
      <c r="O160" s="4"/>
      <c r="P160" s="4"/>
      <c r="Q160" s="4"/>
    </row>
    <row r="161" ht="15.75" customHeight="1">
      <c r="A161" s="4"/>
      <c r="B161" s="3"/>
      <c r="C161" s="3"/>
      <c r="D161" s="4"/>
      <c r="E161" s="4"/>
      <c r="F161" s="4"/>
      <c r="G161" s="4"/>
      <c r="H161" s="5"/>
      <c r="I161" s="5"/>
      <c r="J161" s="4"/>
      <c r="K161" s="4"/>
      <c r="L161" s="40"/>
      <c r="M161" s="4"/>
      <c r="N161" s="3"/>
      <c r="O161" s="4"/>
      <c r="P161" s="4"/>
      <c r="Q161" s="4"/>
    </row>
    <row r="162" ht="15.75" customHeight="1">
      <c r="A162" s="4"/>
      <c r="B162" s="3"/>
      <c r="C162" s="3"/>
      <c r="D162" s="4"/>
      <c r="E162" s="4"/>
      <c r="F162" s="4"/>
      <c r="G162" s="4"/>
      <c r="H162" s="5"/>
      <c r="I162" s="5"/>
      <c r="J162" s="4"/>
      <c r="K162" s="4"/>
      <c r="L162" s="40"/>
      <c r="M162" s="4"/>
      <c r="N162" s="3"/>
      <c r="O162" s="4"/>
      <c r="P162" s="4"/>
      <c r="Q162" s="4"/>
    </row>
    <row r="163" ht="15.75" customHeight="1">
      <c r="A163" s="4"/>
      <c r="B163" s="3"/>
      <c r="C163" s="3"/>
      <c r="D163" s="4"/>
      <c r="E163" s="4"/>
      <c r="F163" s="4"/>
      <c r="G163" s="4"/>
      <c r="H163" s="5"/>
      <c r="I163" s="5"/>
      <c r="J163" s="4"/>
      <c r="K163" s="4"/>
      <c r="L163" s="40"/>
      <c r="M163" s="4"/>
      <c r="N163" s="3"/>
      <c r="O163" s="4"/>
      <c r="P163" s="4"/>
      <c r="Q163" s="4"/>
    </row>
    <row r="164" ht="15.75" customHeight="1">
      <c r="A164" s="4"/>
      <c r="B164" s="3"/>
      <c r="C164" s="3"/>
      <c r="D164" s="4"/>
      <c r="E164" s="4"/>
      <c r="F164" s="4"/>
      <c r="G164" s="4"/>
      <c r="H164" s="5"/>
      <c r="I164" s="5"/>
      <c r="J164" s="4"/>
      <c r="K164" s="4"/>
      <c r="L164" s="40"/>
      <c r="M164" s="4"/>
      <c r="N164" s="3"/>
      <c r="O164" s="4"/>
      <c r="P164" s="4"/>
      <c r="Q164" s="4"/>
    </row>
    <row r="165" ht="15.75" customHeight="1">
      <c r="A165" s="4"/>
      <c r="B165" s="3"/>
      <c r="C165" s="3"/>
      <c r="D165" s="4"/>
      <c r="E165" s="4"/>
      <c r="F165" s="4"/>
      <c r="G165" s="4"/>
      <c r="H165" s="5"/>
      <c r="I165" s="5"/>
      <c r="J165" s="4"/>
      <c r="K165" s="4"/>
      <c r="L165" s="40"/>
      <c r="M165" s="4"/>
      <c r="N165" s="3"/>
      <c r="O165" s="4"/>
      <c r="P165" s="4"/>
      <c r="Q165" s="4"/>
    </row>
    <row r="166" ht="15.75" customHeight="1">
      <c r="A166" s="4"/>
      <c r="B166" s="3"/>
      <c r="C166" s="3"/>
      <c r="D166" s="4"/>
      <c r="E166" s="4"/>
      <c r="F166" s="4"/>
      <c r="G166" s="4"/>
      <c r="H166" s="5"/>
      <c r="I166" s="5"/>
      <c r="J166" s="4"/>
      <c r="K166" s="4"/>
      <c r="L166" s="40"/>
      <c r="M166" s="4"/>
      <c r="N166" s="3"/>
      <c r="O166" s="4"/>
      <c r="P166" s="4"/>
      <c r="Q166" s="4"/>
    </row>
    <row r="167" ht="15.75" customHeight="1">
      <c r="A167" s="4"/>
      <c r="B167" s="3"/>
      <c r="C167" s="3"/>
      <c r="D167" s="4"/>
      <c r="E167" s="4"/>
      <c r="F167" s="4"/>
      <c r="G167" s="4"/>
      <c r="H167" s="5"/>
      <c r="I167" s="5"/>
      <c r="J167" s="4"/>
      <c r="K167" s="4"/>
      <c r="L167" s="40"/>
      <c r="M167" s="4"/>
      <c r="N167" s="3"/>
      <c r="O167" s="4"/>
      <c r="P167" s="4"/>
      <c r="Q167" s="4"/>
    </row>
    <row r="168" ht="15.75" customHeight="1">
      <c r="A168" s="4"/>
      <c r="B168" s="3"/>
      <c r="C168" s="3"/>
      <c r="D168" s="4"/>
      <c r="E168" s="4"/>
      <c r="F168" s="4"/>
      <c r="G168" s="4"/>
      <c r="H168" s="5"/>
      <c r="I168" s="5"/>
      <c r="J168" s="4"/>
      <c r="K168" s="4"/>
      <c r="L168" s="40"/>
      <c r="M168" s="4"/>
      <c r="N168" s="3"/>
      <c r="O168" s="4"/>
      <c r="P168" s="4"/>
      <c r="Q168" s="4"/>
    </row>
    <row r="169" ht="15.75" customHeight="1">
      <c r="A169" s="4"/>
      <c r="B169" s="3"/>
      <c r="C169" s="3"/>
      <c r="D169" s="4"/>
      <c r="E169" s="4"/>
      <c r="F169" s="4"/>
      <c r="G169" s="4"/>
      <c r="H169" s="5"/>
      <c r="I169" s="5"/>
      <c r="J169" s="4"/>
      <c r="K169" s="4"/>
      <c r="L169" s="40"/>
      <c r="M169" s="4"/>
      <c r="N169" s="3"/>
      <c r="O169" s="4"/>
      <c r="P169" s="4"/>
      <c r="Q169" s="4"/>
    </row>
    <row r="170" ht="15.75" customHeight="1">
      <c r="A170" s="4"/>
      <c r="B170" s="3"/>
      <c r="C170" s="3"/>
      <c r="D170" s="4"/>
      <c r="E170" s="4"/>
      <c r="F170" s="4"/>
      <c r="G170" s="4"/>
      <c r="H170" s="5"/>
      <c r="I170" s="5"/>
      <c r="J170" s="4"/>
      <c r="K170" s="4"/>
      <c r="L170" s="40"/>
      <c r="M170" s="4"/>
      <c r="N170" s="3"/>
      <c r="O170" s="4"/>
      <c r="P170" s="4"/>
      <c r="Q170" s="4"/>
    </row>
    <row r="171" ht="15.75" customHeight="1">
      <c r="A171" s="4"/>
      <c r="B171" s="3"/>
      <c r="C171" s="3"/>
      <c r="D171" s="4"/>
      <c r="E171" s="4"/>
      <c r="F171" s="4"/>
      <c r="G171" s="4"/>
      <c r="H171" s="5"/>
      <c r="I171" s="5"/>
      <c r="J171" s="4"/>
      <c r="K171" s="4"/>
      <c r="L171" s="40"/>
      <c r="M171" s="4"/>
      <c r="N171" s="3"/>
      <c r="O171" s="4"/>
      <c r="P171" s="4"/>
      <c r="Q171" s="4"/>
    </row>
    <row r="172" ht="15.75" customHeight="1">
      <c r="A172" s="4"/>
      <c r="B172" s="3"/>
      <c r="C172" s="3"/>
      <c r="D172" s="4"/>
      <c r="E172" s="4"/>
      <c r="F172" s="4"/>
      <c r="G172" s="4"/>
      <c r="H172" s="5"/>
      <c r="I172" s="5"/>
      <c r="J172" s="4"/>
      <c r="K172" s="4"/>
      <c r="L172" s="40"/>
      <c r="M172" s="4"/>
      <c r="N172" s="3"/>
      <c r="O172" s="4"/>
      <c r="P172" s="4"/>
      <c r="Q172" s="4"/>
    </row>
    <row r="173" ht="15.75" customHeight="1">
      <c r="A173" s="4"/>
      <c r="B173" s="3"/>
      <c r="C173" s="3"/>
      <c r="D173" s="4"/>
      <c r="E173" s="4"/>
      <c r="F173" s="4"/>
      <c r="G173" s="4"/>
      <c r="H173" s="5"/>
      <c r="I173" s="5"/>
      <c r="J173" s="4"/>
      <c r="K173" s="4"/>
      <c r="L173" s="40"/>
      <c r="M173" s="4"/>
      <c r="N173" s="3"/>
      <c r="O173" s="4"/>
      <c r="P173" s="4"/>
      <c r="Q173" s="4"/>
    </row>
    <row r="174" ht="15.75" customHeight="1">
      <c r="A174" s="4"/>
      <c r="B174" s="3"/>
      <c r="C174" s="3"/>
      <c r="D174" s="4"/>
      <c r="E174" s="4"/>
      <c r="F174" s="4"/>
      <c r="G174" s="4"/>
      <c r="H174" s="5"/>
      <c r="I174" s="5"/>
      <c r="J174" s="4"/>
      <c r="K174" s="4"/>
      <c r="L174" s="40"/>
      <c r="M174" s="4"/>
      <c r="N174" s="3"/>
      <c r="O174" s="4"/>
      <c r="P174" s="4"/>
      <c r="Q174" s="4"/>
    </row>
    <row r="175" ht="15.75" customHeight="1">
      <c r="A175" s="4"/>
      <c r="B175" s="3"/>
      <c r="C175" s="3"/>
      <c r="D175" s="4"/>
      <c r="E175" s="4"/>
      <c r="F175" s="4"/>
      <c r="G175" s="4"/>
      <c r="H175" s="5"/>
      <c r="I175" s="5"/>
      <c r="J175" s="4"/>
      <c r="K175" s="4"/>
      <c r="L175" s="40"/>
      <c r="M175" s="4"/>
      <c r="N175" s="3"/>
      <c r="O175" s="4"/>
      <c r="P175" s="4"/>
      <c r="Q175" s="4"/>
    </row>
    <row r="176" ht="15.75" customHeight="1">
      <c r="A176" s="4"/>
      <c r="B176" s="3"/>
      <c r="C176" s="3"/>
      <c r="D176" s="4"/>
      <c r="E176" s="4"/>
      <c r="F176" s="4"/>
      <c r="G176" s="4"/>
      <c r="H176" s="5"/>
      <c r="I176" s="5"/>
      <c r="J176" s="4"/>
      <c r="K176" s="4"/>
      <c r="L176" s="40"/>
      <c r="M176" s="4"/>
      <c r="N176" s="3"/>
      <c r="O176" s="4"/>
      <c r="P176" s="4"/>
      <c r="Q176" s="4"/>
    </row>
    <row r="177" ht="15.75" customHeight="1">
      <c r="A177" s="4"/>
      <c r="B177" s="3"/>
      <c r="C177" s="3"/>
      <c r="D177" s="4"/>
      <c r="E177" s="4"/>
      <c r="F177" s="4"/>
      <c r="G177" s="4"/>
      <c r="H177" s="5"/>
      <c r="I177" s="5"/>
      <c r="J177" s="4"/>
      <c r="K177" s="4"/>
      <c r="L177" s="40"/>
      <c r="M177" s="4"/>
      <c r="N177" s="3"/>
      <c r="O177" s="4"/>
      <c r="P177" s="4"/>
      <c r="Q177" s="4"/>
    </row>
    <row r="178" ht="15.75" customHeight="1">
      <c r="A178" s="4"/>
      <c r="B178" s="3"/>
      <c r="C178" s="3"/>
      <c r="D178" s="4"/>
      <c r="E178" s="4"/>
      <c r="F178" s="4"/>
      <c r="G178" s="4"/>
      <c r="H178" s="5"/>
      <c r="I178" s="5"/>
      <c r="J178" s="4"/>
      <c r="K178" s="4"/>
      <c r="L178" s="40"/>
      <c r="M178" s="4"/>
      <c r="N178" s="3"/>
      <c r="O178" s="4"/>
      <c r="P178" s="4"/>
      <c r="Q178" s="4"/>
    </row>
    <row r="179" ht="15.75" customHeight="1">
      <c r="A179" s="4"/>
      <c r="B179" s="3"/>
      <c r="C179" s="3"/>
      <c r="D179" s="4"/>
      <c r="E179" s="4"/>
      <c r="F179" s="4"/>
      <c r="G179" s="4"/>
      <c r="H179" s="5"/>
      <c r="I179" s="5"/>
      <c r="J179" s="4"/>
      <c r="K179" s="4"/>
      <c r="L179" s="40"/>
      <c r="M179" s="4"/>
      <c r="N179" s="3"/>
      <c r="O179" s="4"/>
      <c r="P179" s="4"/>
      <c r="Q179" s="4"/>
    </row>
    <row r="180" ht="15.75" customHeight="1">
      <c r="A180" s="4"/>
      <c r="B180" s="3"/>
      <c r="C180" s="3"/>
      <c r="D180" s="4"/>
      <c r="E180" s="4"/>
      <c r="F180" s="4"/>
      <c r="G180" s="4"/>
      <c r="H180" s="5"/>
      <c r="I180" s="5"/>
      <c r="J180" s="4"/>
      <c r="K180" s="4"/>
      <c r="L180" s="40"/>
      <c r="M180" s="4"/>
      <c r="N180" s="3"/>
      <c r="O180" s="4"/>
      <c r="P180" s="4"/>
      <c r="Q180" s="4"/>
    </row>
    <row r="181" ht="15.75" customHeight="1">
      <c r="A181" s="4"/>
      <c r="B181" s="3"/>
      <c r="C181" s="3"/>
      <c r="D181" s="4"/>
      <c r="E181" s="4"/>
      <c r="F181" s="4"/>
      <c r="G181" s="4"/>
      <c r="H181" s="5"/>
      <c r="I181" s="5"/>
      <c r="J181" s="4"/>
      <c r="K181" s="4"/>
      <c r="L181" s="40"/>
      <c r="M181" s="4"/>
      <c r="N181" s="3"/>
      <c r="O181" s="4"/>
      <c r="P181" s="4"/>
      <c r="Q181" s="4"/>
    </row>
    <row r="182" ht="15.75" customHeight="1">
      <c r="A182" s="4"/>
      <c r="B182" s="3"/>
      <c r="C182" s="3"/>
      <c r="D182" s="4"/>
      <c r="E182" s="4"/>
      <c r="F182" s="4"/>
      <c r="G182" s="4"/>
      <c r="H182" s="5"/>
      <c r="I182" s="5"/>
      <c r="J182" s="4"/>
      <c r="K182" s="4"/>
      <c r="L182" s="40"/>
      <c r="M182" s="4"/>
      <c r="N182" s="3"/>
      <c r="O182" s="4"/>
      <c r="P182" s="4"/>
      <c r="Q182" s="4"/>
    </row>
    <row r="183" ht="15.75" customHeight="1">
      <c r="A183" s="4"/>
      <c r="B183" s="3"/>
      <c r="C183" s="3"/>
      <c r="D183" s="4"/>
      <c r="E183" s="4"/>
      <c r="F183" s="4"/>
      <c r="G183" s="4"/>
      <c r="H183" s="5"/>
      <c r="I183" s="5"/>
      <c r="J183" s="4"/>
      <c r="K183" s="4"/>
      <c r="L183" s="40"/>
      <c r="M183" s="4"/>
      <c r="N183" s="3"/>
      <c r="O183" s="4"/>
      <c r="P183" s="4"/>
      <c r="Q183" s="4"/>
    </row>
    <row r="184" ht="15.75" customHeight="1">
      <c r="A184" s="4"/>
      <c r="B184" s="3"/>
      <c r="C184" s="3"/>
      <c r="D184" s="4"/>
      <c r="E184" s="4"/>
      <c r="F184" s="4"/>
      <c r="G184" s="4"/>
      <c r="H184" s="5"/>
      <c r="I184" s="5"/>
      <c r="J184" s="4"/>
      <c r="K184" s="4"/>
      <c r="L184" s="40"/>
      <c r="M184" s="4"/>
      <c r="N184" s="3"/>
      <c r="O184" s="4"/>
      <c r="P184" s="4"/>
      <c r="Q184" s="4"/>
    </row>
    <row r="185" ht="15.75" customHeight="1">
      <c r="A185" s="4"/>
      <c r="B185" s="3"/>
      <c r="C185" s="3"/>
      <c r="D185" s="4"/>
      <c r="E185" s="4"/>
      <c r="F185" s="4"/>
      <c r="G185" s="4"/>
      <c r="H185" s="5"/>
      <c r="I185" s="5"/>
      <c r="J185" s="4"/>
      <c r="K185" s="4"/>
      <c r="L185" s="40"/>
      <c r="M185" s="4"/>
      <c r="N185" s="3"/>
      <c r="O185" s="4"/>
      <c r="P185" s="4"/>
      <c r="Q185" s="4"/>
    </row>
    <row r="186" ht="15.75" customHeight="1">
      <c r="A186" s="4"/>
      <c r="B186" s="3"/>
      <c r="C186" s="3"/>
      <c r="D186" s="4"/>
      <c r="E186" s="4"/>
      <c r="F186" s="4"/>
      <c r="G186" s="4"/>
      <c r="H186" s="5"/>
      <c r="I186" s="5"/>
      <c r="J186" s="4"/>
      <c r="K186" s="4"/>
      <c r="L186" s="40"/>
      <c r="M186" s="4"/>
      <c r="N186" s="3"/>
      <c r="O186" s="4"/>
      <c r="P186" s="4"/>
      <c r="Q186" s="4"/>
    </row>
    <row r="187" ht="15.75" customHeight="1">
      <c r="A187" s="4"/>
      <c r="B187" s="3"/>
      <c r="C187" s="3"/>
      <c r="D187" s="4"/>
      <c r="E187" s="4"/>
      <c r="F187" s="4"/>
      <c r="G187" s="4"/>
      <c r="H187" s="5"/>
      <c r="I187" s="5"/>
      <c r="J187" s="4"/>
      <c r="K187" s="4"/>
      <c r="L187" s="40"/>
      <c r="M187" s="4"/>
      <c r="N187" s="3"/>
      <c r="O187" s="4"/>
      <c r="P187" s="4"/>
      <c r="Q187" s="4"/>
    </row>
    <row r="188" ht="15.75" customHeight="1">
      <c r="A188" s="4"/>
      <c r="B188" s="3"/>
      <c r="C188" s="3"/>
      <c r="D188" s="4"/>
      <c r="E188" s="4"/>
      <c r="F188" s="4"/>
      <c r="G188" s="4"/>
      <c r="H188" s="5"/>
      <c r="I188" s="5"/>
      <c r="J188" s="4"/>
      <c r="K188" s="4"/>
      <c r="L188" s="40"/>
      <c r="M188" s="4"/>
      <c r="N188" s="3"/>
      <c r="O188" s="4"/>
      <c r="P188" s="4"/>
      <c r="Q188" s="4"/>
    </row>
    <row r="189" ht="15.75" customHeight="1">
      <c r="A189" s="4"/>
      <c r="B189" s="3"/>
      <c r="C189" s="3"/>
      <c r="D189" s="4"/>
      <c r="E189" s="4"/>
      <c r="F189" s="4"/>
      <c r="G189" s="4"/>
      <c r="H189" s="5"/>
      <c r="I189" s="5"/>
      <c r="J189" s="4"/>
      <c r="K189" s="4"/>
      <c r="L189" s="40"/>
      <c r="M189" s="4"/>
      <c r="N189" s="3"/>
      <c r="O189" s="4"/>
      <c r="P189" s="4"/>
      <c r="Q189" s="4"/>
    </row>
    <row r="190" ht="15.75" customHeight="1">
      <c r="A190" s="4"/>
      <c r="B190" s="3"/>
      <c r="C190" s="3"/>
      <c r="D190" s="4"/>
      <c r="E190" s="4"/>
      <c r="F190" s="4"/>
      <c r="G190" s="4"/>
      <c r="H190" s="5"/>
      <c r="I190" s="5"/>
      <c r="J190" s="4"/>
      <c r="K190" s="4"/>
      <c r="L190" s="40"/>
      <c r="M190" s="4"/>
      <c r="N190" s="3"/>
      <c r="O190" s="4"/>
      <c r="P190" s="4"/>
      <c r="Q190" s="4"/>
    </row>
    <row r="191" ht="15.75" customHeight="1">
      <c r="A191" s="4"/>
      <c r="B191" s="3"/>
      <c r="C191" s="3"/>
      <c r="D191" s="4"/>
      <c r="E191" s="4"/>
      <c r="F191" s="4"/>
      <c r="G191" s="4"/>
      <c r="H191" s="5"/>
      <c r="I191" s="5"/>
      <c r="J191" s="4"/>
      <c r="K191" s="4"/>
      <c r="L191" s="40"/>
      <c r="M191" s="4"/>
      <c r="N191" s="3"/>
      <c r="O191" s="4"/>
      <c r="P191" s="4"/>
      <c r="Q191" s="4"/>
    </row>
    <row r="192" ht="15.75" customHeight="1">
      <c r="A192" s="4"/>
      <c r="B192" s="3"/>
      <c r="C192" s="3"/>
      <c r="D192" s="4"/>
      <c r="E192" s="4"/>
      <c r="F192" s="4"/>
      <c r="G192" s="4"/>
      <c r="H192" s="5"/>
      <c r="I192" s="5"/>
      <c r="J192" s="4"/>
      <c r="K192" s="4"/>
      <c r="L192" s="40"/>
      <c r="M192" s="4"/>
      <c r="N192" s="3"/>
      <c r="O192" s="4"/>
      <c r="P192" s="4"/>
      <c r="Q192" s="4"/>
    </row>
    <row r="193" ht="15.75" customHeight="1">
      <c r="A193" s="4"/>
      <c r="B193" s="3"/>
      <c r="C193" s="3"/>
      <c r="D193" s="4"/>
      <c r="E193" s="4"/>
      <c r="F193" s="4"/>
      <c r="G193" s="4"/>
      <c r="H193" s="5"/>
      <c r="I193" s="5"/>
      <c r="J193" s="4"/>
      <c r="K193" s="4"/>
      <c r="L193" s="40"/>
      <c r="M193" s="4"/>
      <c r="N193" s="3"/>
      <c r="O193" s="4"/>
      <c r="P193" s="4"/>
      <c r="Q193" s="4"/>
    </row>
    <row r="194" ht="15.75" customHeight="1">
      <c r="A194" s="4"/>
      <c r="B194" s="3"/>
      <c r="C194" s="3"/>
      <c r="D194" s="4"/>
      <c r="E194" s="4"/>
      <c r="F194" s="4"/>
      <c r="G194" s="4"/>
      <c r="H194" s="5"/>
      <c r="I194" s="5"/>
      <c r="J194" s="4"/>
      <c r="K194" s="4"/>
      <c r="L194" s="40"/>
      <c r="M194" s="4"/>
      <c r="N194" s="3"/>
      <c r="O194" s="4"/>
      <c r="P194" s="4"/>
      <c r="Q194" s="4"/>
    </row>
    <row r="195" ht="15.75" customHeight="1">
      <c r="A195" s="4"/>
      <c r="B195" s="3"/>
      <c r="C195" s="3"/>
      <c r="D195" s="4"/>
      <c r="E195" s="4"/>
      <c r="F195" s="4"/>
      <c r="G195" s="4"/>
      <c r="H195" s="5"/>
      <c r="I195" s="5"/>
      <c r="J195" s="4"/>
      <c r="K195" s="4"/>
      <c r="L195" s="40"/>
      <c r="M195" s="4"/>
      <c r="N195" s="3"/>
      <c r="O195" s="4"/>
      <c r="P195" s="4"/>
      <c r="Q195" s="4"/>
    </row>
    <row r="196" ht="15.75" customHeight="1">
      <c r="A196" s="4"/>
      <c r="B196" s="3"/>
      <c r="C196" s="3"/>
      <c r="D196" s="4"/>
      <c r="E196" s="4"/>
      <c r="F196" s="4"/>
      <c r="G196" s="4"/>
      <c r="H196" s="5"/>
      <c r="I196" s="5"/>
      <c r="J196" s="4"/>
      <c r="K196" s="4"/>
      <c r="L196" s="40"/>
      <c r="M196" s="4"/>
      <c r="N196" s="3"/>
      <c r="O196" s="4"/>
      <c r="P196" s="4"/>
      <c r="Q196" s="4"/>
    </row>
    <row r="197" ht="15.75" customHeight="1">
      <c r="A197" s="4"/>
      <c r="B197" s="3"/>
      <c r="C197" s="3"/>
      <c r="D197" s="4"/>
      <c r="E197" s="4"/>
      <c r="F197" s="4"/>
      <c r="G197" s="4"/>
      <c r="H197" s="5"/>
      <c r="I197" s="5"/>
      <c r="J197" s="4"/>
      <c r="K197" s="4"/>
      <c r="L197" s="40"/>
      <c r="M197" s="4"/>
      <c r="N197" s="3"/>
      <c r="O197" s="4"/>
      <c r="P197" s="4"/>
      <c r="Q197" s="4"/>
    </row>
    <row r="198" ht="15.75" customHeight="1">
      <c r="A198" s="4"/>
      <c r="B198" s="3"/>
      <c r="C198" s="3"/>
      <c r="D198" s="4"/>
      <c r="E198" s="4"/>
      <c r="F198" s="4"/>
      <c r="G198" s="4"/>
      <c r="H198" s="5"/>
      <c r="I198" s="5"/>
      <c r="J198" s="4"/>
      <c r="K198" s="4"/>
      <c r="L198" s="40"/>
      <c r="M198" s="4"/>
      <c r="N198" s="3"/>
      <c r="O198" s="4"/>
      <c r="P198" s="4"/>
      <c r="Q198" s="4"/>
    </row>
    <row r="199" ht="15.75" customHeight="1">
      <c r="A199" s="4"/>
      <c r="B199" s="3"/>
      <c r="C199" s="3"/>
      <c r="D199" s="4"/>
      <c r="E199" s="4"/>
      <c r="F199" s="4"/>
      <c r="G199" s="4"/>
      <c r="H199" s="5"/>
      <c r="I199" s="5"/>
      <c r="J199" s="4"/>
      <c r="K199" s="4"/>
      <c r="L199" s="40"/>
      <c r="M199" s="4"/>
      <c r="N199" s="3"/>
      <c r="O199" s="4"/>
      <c r="P199" s="4"/>
      <c r="Q199" s="4"/>
    </row>
    <row r="200" ht="15.75" customHeight="1">
      <c r="A200" s="4"/>
      <c r="B200" s="3"/>
      <c r="C200" s="3"/>
      <c r="D200" s="4"/>
      <c r="E200" s="4"/>
      <c r="F200" s="4"/>
      <c r="G200" s="4"/>
      <c r="H200" s="5"/>
      <c r="I200" s="5"/>
      <c r="J200" s="4"/>
      <c r="K200" s="4"/>
      <c r="L200" s="40"/>
      <c r="M200" s="4"/>
      <c r="N200" s="3"/>
      <c r="O200" s="4"/>
      <c r="P200" s="4"/>
      <c r="Q200" s="4"/>
    </row>
    <row r="201" ht="15.75" customHeight="1">
      <c r="A201" s="4"/>
      <c r="B201" s="3"/>
      <c r="C201" s="3"/>
      <c r="D201" s="4"/>
      <c r="E201" s="4"/>
      <c r="F201" s="4"/>
      <c r="G201" s="4"/>
      <c r="H201" s="5"/>
      <c r="I201" s="5"/>
      <c r="J201" s="4"/>
      <c r="K201" s="4"/>
      <c r="L201" s="40"/>
      <c r="M201" s="4"/>
      <c r="N201" s="3"/>
      <c r="O201" s="4"/>
      <c r="P201" s="4"/>
      <c r="Q201" s="4"/>
    </row>
    <row r="202" ht="15.75" customHeight="1">
      <c r="A202" s="4"/>
      <c r="B202" s="3"/>
      <c r="C202" s="3"/>
      <c r="D202" s="4"/>
      <c r="E202" s="4"/>
      <c r="F202" s="4"/>
      <c r="G202" s="4"/>
      <c r="H202" s="5"/>
      <c r="I202" s="5"/>
      <c r="J202" s="4"/>
      <c r="K202" s="4"/>
      <c r="L202" s="40"/>
      <c r="M202" s="4"/>
      <c r="N202" s="3"/>
      <c r="O202" s="4"/>
      <c r="P202" s="4"/>
      <c r="Q202" s="4"/>
    </row>
    <row r="203" ht="15.75" customHeight="1">
      <c r="A203" s="4"/>
      <c r="B203" s="3"/>
      <c r="C203" s="3"/>
      <c r="D203" s="4"/>
      <c r="E203" s="4"/>
      <c r="F203" s="4"/>
      <c r="G203" s="4"/>
      <c r="H203" s="5"/>
      <c r="I203" s="5"/>
      <c r="J203" s="4"/>
      <c r="K203" s="4"/>
      <c r="L203" s="40"/>
      <c r="M203" s="4"/>
      <c r="N203" s="3"/>
      <c r="O203" s="4"/>
      <c r="P203" s="4"/>
      <c r="Q203" s="4"/>
    </row>
    <row r="204" ht="15.75" customHeight="1">
      <c r="A204" s="4"/>
      <c r="B204" s="3"/>
      <c r="C204" s="3"/>
      <c r="D204" s="4"/>
      <c r="E204" s="4"/>
      <c r="F204" s="4"/>
      <c r="G204" s="4"/>
      <c r="H204" s="5"/>
      <c r="I204" s="5"/>
      <c r="J204" s="4"/>
      <c r="K204" s="4"/>
      <c r="L204" s="40"/>
      <c r="M204" s="4"/>
      <c r="N204" s="3"/>
      <c r="O204" s="4"/>
      <c r="P204" s="4"/>
      <c r="Q204" s="4"/>
    </row>
    <row r="205" ht="15.75" customHeight="1">
      <c r="A205" s="4"/>
      <c r="B205" s="3"/>
      <c r="C205" s="3"/>
      <c r="D205" s="4"/>
      <c r="E205" s="4"/>
      <c r="F205" s="4"/>
      <c r="G205" s="4"/>
      <c r="H205" s="5"/>
      <c r="I205" s="5"/>
      <c r="J205" s="4"/>
      <c r="K205" s="4"/>
      <c r="L205" s="40"/>
      <c r="M205" s="4"/>
      <c r="N205" s="3"/>
      <c r="O205" s="4"/>
      <c r="P205" s="4"/>
      <c r="Q205" s="4"/>
    </row>
    <row r="206" ht="15.75" customHeight="1">
      <c r="A206" s="4"/>
      <c r="B206" s="3"/>
      <c r="C206" s="3"/>
      <c r="D206" s="4"/>
      <c r="E206" s="4"/>
      <c r="F206" s="4"/>
      <c r="G206" s="4"/>
      <c r="H206" s="5"/>
      <c r="I206" s="5"/>
      <c r="J206" s="4"/>
      <c r="K206" s="4"/>
      <c r="L206" s="40"/>
      <c r="M206" s="4"/>
      <c r="N206" s="3"/>
      <c r="O206" s="4"/>
      <c r="P206" s="4"/>
      <c r="Q206" s="4"/>
    </row>
    <row r="207" ht="15.75" customHeight="1">
      <c r="A207" s="4"/>
      <c r="B207" s="3"/>
      <c r="C207" s="3"/>
      <c r="D207" s="4"/>
      <c r="E207" s="4"/>
      <c r="F207" s="4"/>
      <c r="G207" s="4"/>
      <c r="H207" s="5"/>
      <c r="I207" s="5"/>
      <c r="J207" s="4"/>
      <c r="K207" s="4"/>
      <c r="L207" s="40"/>
      <c r="M207" s="4"/>
      <c r="N207" s="3"/>
      <c r="O207" s="4"/>
      <c r="P207" s="4"/>
      <c r="Q207" s="4"/>
    </row>
    <row r="208" ht="15.75" customHeight="1">
      <c r="A208" s="4"/>
      <c r="B208" s="3"/>
      <c r="C208" s="3"/>
      <c r="D208" s="4"/>
      <c r="E208" s="4"/>
      <c r="F208" s="4"/>
      <c r="G208" s="4"/>
      <c r="H208" s="5"/>
      <c r="I208" s="5"/>
      <c r="J208" s="4"/>
      <c r="K208" s="4"/>
      <c r="L208" s="40"/>
      <c r="M208" s="4"/>
      <c r="N208" s="3"/>
      <c r="O208" s="4"/>
      <c r="P208" s="4"/>
      <c r="Q208" s="4"/>
    </row>
    <row r="209" ht="15.75" customHeight="1">
      <c r="A209" s="4"/>
      <c r="B209" s="3"/>
      <c r="C209" s="3"/>
      <c r="D209" s="4"/>
      <c r="E209" s="4"/>
      <c r="F209" s="4"/>
      <c r="G209" s="4"/>
      <c r="H209" s="5"/>
      <c r="I209" s="5"/>
      <c r="J209" s="4"/>
      <c r="K209" s="4"/>
      <c r="L209" s="40"/>
      <c r="M209" s="4"/>
      <c r="N209" s="3"/>
      <c r="O209" s="4"/>
      <c r="P209" s="4"/>
      <c r="Q209" s="4"/>
    </row>
    <row r="210" ht="15.75" customHeight="1">
      <c r="A210" s="4"/>
      <c r="B210" s="3"/>
      <c r="C210" s="3"/>
      <c r="D210" s="4"/>
      <c r="E210" s="4"/>
      <c r="F210" s="4"/>
      <c r="G210" s="4"/>
      <c r="H210" s="5"/>
      <c r="I210" s="5"/>
      <c r="J210" s="4"/>
      <c r="K210" s="4"/>
      <c r="L210" s="40"/>
      <c r="M210" s="4"/>
      <c r="N210" s="3"/>
      <c r="O210" s="4"/>
      <c r="P210" s="4"/>
      <c r="Q210" s="4"/>
    </row>
    <row r="211" ht="15.75" customHeight="1">
      <c r="A211" s="4"/>
      <c r="B211" s="3"/>
      <c r="C211" s="3"/>
      <c r="D211" s="4"/>
      <c r="E211" s="4"/>
      <c r="F211" s="4"/>
      <c r="G211" s="4"/>
      <c r="H211" s="5"/>
      <c r="I211" s="5"/>
      <c r="J211" s="4"/>
      <c r="K211" s="4"/>
      <c r="L211" s="40"/>
      <c r="M211" s="4"/>
      <c r="N211" s="3"/>
      <c r="O211" s="4"/>
      <c r="P211" s="4"/>
      <c r="Q211" s="4"/>
    </row>
    <row r="212" ht="15.75" customHeight="1">
      <c r="A212" s="4"/>
      <c r="B212" s="3"/>
      <c r="C212" s="3"/>
      <c r="D212" s="4"/>
      <c r="E212" s="4"/>
      <c r="F212" s="4"/>
      <c r="G212" s="4"/>
      <c r="H212" s="5"/>
      <c r="I212" s="5"/>
      <c r="J212" s="4"/>
      <c r="K212" s="4"/>
      <c r="L212" s="40"/>
      <c r="M212" s="4"/>
      <c r="N212" s="3"/>
      <c r="O212" s="4"/>
      <c r="P212" s="4"/>
      <c r="Q212" s="4"/>
    </row>
    <row r="213" ht="15.75" customHeight="1">
      <c r="A213" s="4"/>
      <c r="B213" s="3"/>
      <c r="C213" s="3"/>
      <c r="D213" s="4"/>
      <c r="E213" s="4"/>
      <c r="F213" s="4"/>
      <c r="G213" s="4"/>
      <c r="H213" s="5"/>
      <c r="I213" s="5"/>
      <c r="J213" s="4"/>
      <c r="K213" s="4"/>
      <c r="L213" s="40"/>
      <c r="M213" s="4"/>
      <c r="N213" s="3"/>
      <c r="O213" s="4"/>
      <c r="P213" s="4"/>
      <c r="Q213" s="4"/>
    </row>
    <row r="214" ht="15.75" customHeight="1">
      <c r="A214" s="4"/>
      <c r="B214" s="3"/>
      <c r="C214" s="3"/>
      <c r="D214" s="4"/>
      <c r="E214" s="4"/>
      <c r="F214" s="4"/>
      <c r="G214" s="4"/>
      <c r="H214" s="5"/>
      <c r="I214" s="5"/>
      <c r="J214" s="4"/>
      <c r="K214" s="4"/>
      <c r="L214" s="40"/>
      <c r="M214" s="4"/>
      <c r="N214" s="3"/>
      <c r="O214" s="4"/>
      <c r="P214" s="4"/>
      <c r="Q214" s="4"/>
    </row>
    <row r="215" ht="15.75" customHeight="1">
      <c r="A215" s="4"/>
      <c r="B215" s="3"/>
      <c r="C215" s="3"/>
      <c r="D215" s="4"/>
      <c r="E215" s="4"/>
      <c r="F215" s="4"/>
      <c r="G215" s="4"/>
      <c r="H215" s="5"/>
      <c r="I215" s="5"/>
      <c r="J215" s="4"/>
      <c r="K215" s="4"/>
      <c r="L215" s="40"/>
      <c r="M215" s="4"/>
      <c r="N215" s="3"/>
      <c r="O215" s="4"/>
      <c r="P215" s="4"/>
      <c r="Q215" s="4"/>
    </row>
    <row r="216" ht="15.75" customHeight="1">
      <c r="A216" s="4"/>
      <c r="B216" s="3"/>
      <c r="C216" s="3"/>
      <c r="D216" s="4"/>
      <c r="E216" s="4"/>
      <c r="F216" s="4"/>
      <c r="G216" s="4"/>
      <c r="H216" s="5"/>
      <c r="I216" s="5"/>
      <c r="J216" s="4"/>
      <c r="K216" s="4"/>
      <c r="L216" s="40"/>
      <c r="M216" s="4"/>
      <c r="N216" s="3"/>
      <c r="O216" s="4"/>
      <c r="P216" s="4"/>
      <c r="Q216" s="4"/>
    </row>
    <row r="217" ht="15.75" customHeight="1">
      <c r="A217" s="4"/>
      <c r="B217" s="3"/>
      <c r="C217" s="3"/>
      <c r="D217" s="4"/>
      <c r="E217" s="4"/>
      <c r="F217" s="4"/>
      <c r="G217" s="4"/>
      <c r="H217" s="5"/>
      <c r="I217" s="5"/>
      <c r="J217" s="4"/>
      <c r="K217" s="4"/>
      <c r="L217" s="40"/>
      <c r="M217" s="4"/>
      <c r="N217" s="3"/>
      <c r="O217" s="4"/>
      <c r="P217" s="4"/>
      <c r="Q217" s="4"/>
    </row>
    <row r="218" ht="15.75" customHeight="1">
      <c r="A218" s="4"/>
      <c r="B218" s="3"/>
      <c r="C218" s="3"/>
      <c r="D218" s="4"/>
      <c r="E218" s="4"/>
      <c r="F218" s="4"/>
      <c r="G218" s="4"/>
      <c r="H218" s="5"/>
      <c r="I218" s="5"/>
      <c r="J218" s="4"/>
      <c r="K218" s="4"/>
      <c r="L218" s="40"/>
      <c r="M218" s="4"/>
      <c r="N218" s="3"/>
      <c r="O218" s="4"/>
      <c r="P218" s="4"/>
      <c r="Q218" s="4"/>
    </row>
    <row r="219" ht="15.75" customHeight="1">
      <c r="A219" s="4"/>
      <c r="B219" s="3"/>
      <c r="C219" s="3"/>
      <c r="D219" s="4"/>
      <c r="E219" s="4"/>
      <c r="F219" s="4"/>
      <c r="G219" s="4"/>
      <c r="H219" s="5"/>
      <c r="I219" s="5"/>
      <c r="J219" s="4"/>
      <c r="K219" s="4"/>
      <c r="L219" s="40"/>
      <c r="M219" s="4"/>
      <c r="N219" s="3"/>
      <c r="O219" s="4"/>
      <c r="P219" s="4"/>
      <c r="Q219" s="4"/>
    </row>
    <row r="220" ht="15.75" customHeight="1">
      <c r="A220" s="4"/>
      <c r="B220" s="3"/>
      <c r="C220" s="3"/>
      <c r="D220" s="4"/>
      <c r="E220" s="4"/>
      <c r="F220" s="4"/>
      <c r="G220" s="4"/>
      <c r="H220" s="5"/>
      <c r="I220" s="5"/>
      <c r="J220" s="4"/>
      <c r="K220" s="4"/>
      <c r="L220" s="40"/>
      <c r="M220" s="4"/>
      <c r="N220" s="3"/>
      <c r="O220" s="4"/>
      <c r="P220" s="4"/>
      <c r="Q220" s="4"/>
    </row>
    <row r="221" ht="15.75" customHeight="1">
      <c r="A221" s="4"/>
      <c r="B221" s="3"/>
      <c r="C221" s="3"/>
      <c r="D221" s="4"/>
      <c r="E221" s="4"/>
      <c r="F221" s="4"/>
      <c r="G221" s="4"/>
      <c r="H221" s="5"/>
      <c r="I221" s="5"/>
      <c r="J221" s="4"/>
      <c r="K221" s="4"/>
      <c r="L221" s="40"/>
      <c r="M221" s="4"/>
      <c r="N221" s="3"/>
      <c r="O221" s="4"/>
      <c r="P221" s="4"/>
      <c r="Q221" s="4"/>
    </row>
    <row r="222" ht="15.75" customHeight="1">
      <c r="A222" s="4"/>
      <c r="B222" s="3"/>
      <c r="C222" s="3"/>
      <c r="D222" s="4"/>
      <c r="E222" s="4"/>
      <c r="F222" s="4"/>
      <c r="G222" s="4"/>
      <c r="H222" s="5"/>
      <c r="I222" s="5"/>
      <c r="J222" s="4"/>
      <c r="K222" s="4"/>
      <c r="L222" s="40"/>
      <c r="M222" s="4"/>
      <c r="N222" s="3"/>
      <c r="O222" s="4"/>
      <c r="P222" s="4"/>
      <c r="Q222" s="4"/>
    </row>
    <row r="223" ht="15.75" customHeight="1">
      <c r="A223" s="4"/>
      <c r="B223" s="3"/>
      <c r="C223" s="3"/>
      <c r="D223" s="4"/>
      <c r="E223" s="4"/>
      <c r="F223" s="4"/>
      <c r="G223" s="4"/>
      <c r="H223" s="5"/>
      <c r="I223" s="5"/>
      <c r="J223" s="4"/>
      <c r="K223" s="4"/>
      <c r="L223" s="40"/>
      <c r="M223" s="4"/>
      <c r="N223" s="3"/>
      <c r="O223" s="4"/>
      <c r="P223" s="4"/>
      <c r="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4.43"/>
    <col customWidth="1" min="3" max="3" width="20.86"/>
    <col customWidth="1" min="4" max="4" width="18.71"/>
    <col customWidth="1" min="5" max="5" width="19.71"/>
    <col customWidth="1" min="6" max="6" width="11.29"/>
    <col customWidth="1" min="7" max="7" width="35.29"/>
    <col customWidth="1" min="8" max="8" width="15.0"/>
    <col customWidth="1" min="9" max="9" width="17.14"/>
    <col customWidth="1" min="10" max="10" width="12.43"/>
    <col customWidth="1" min="11" max="11" width="19.14"/>
    <col customWidth="1" min="12" max="12" width="17.14"/>
    <col customWidth="1" min="13" max="13" width="19.29"/>
    <col customWidth="1" min="14" max="14" width="17.14"/>
  </cols>
  <sheetData>
    <row r="1">
      <c r="A1" s="1" t="s">
        <v>0</v>
      </c>
      <c r="B1" s="2">
        <v>1.7002254E7</v>
      </c>
      <c r="C1" s="3">
        <v>22.0</v>
      </c>
      <c r="D1" s="4">
        <v>11.0</v>
      </c>
      <c r="E1" s="4"/>
      <c r="F1" s="4" t="s">
        <v>1</v>
      </c>
      <c r="G1" s="4" t="s">
        <v>2</v>
      </c>
      <c r="H1" s="5" t="s">
        <v>3</v>
      </c>
      <c r="I1" s="5" t="s">
        <v>4</v>
      </c>
      <c r="J1" s="4" t="s">
        <v>5</v>
      </c>
      <c r="K1" s="6" t="s">
        <v>6</v>
      </c>
      <c r="L1" s="7" t="s">
        <v>7</v>
      </c>
      <c r="M1" s="8" t="s">
        <v>8</v>
      </c>
      <c r="N1" s="8" t="s">
        <v>7</v>
      </c>
      <c r="O1" s="4"/>
      <c r="P1" s="4"/>
      <c r="Q1" s="4"/>
    </row>
    <row r="2">
      <c r="A2" s="1" t="s">
        <v>9</v>
      </c>
      <c r="B2" s="2">
        <v>1563559.0</v>
      </c>
      <c r="C2" s="3"/>
      <c r="D2" s="4"/>
      <c r="E2" s="4"/>
      <c r="F2" s="4"/>
      <c r="G2" s="3"/>
      <c r="H2" s="5">
        <f>Sum(H3:H120)</f>
        <v>-74615120</v>
      </c>
      <c r="I2" s="5">
        <f>Sum(I3:I19)</f>
        <v>45300000</v>
      </c>
      <c r="J2" s="3">
        <f t="shared" ref="J2:J4" si="1">I2+H2</f>
        <v>-29315120</v>
      </c>
      <c r="K2" s="9" t="s">
        <v>10</v>
      </c>
      <c r="L2" s="10">
        <f>SUM(L3:Z10)</f>
        <v>0</v>
      </c>
      <c r="M2" s="11" t="s">
        <v>10</v>
      </c>
      <c r="N2" s="8">
        <f>SUM(N3:N33)</f>
        <v>0</v>
      </c>
      <c r="O2" s="4"/>
      <c r="P2" s="4"/>
      <c r="Q2" s="4"/>
    </row>
    <row r="3">
      <c r="A3" s="1" t="s">
        <v>11</v>
      </c>
      <c r="B3" s="2"/>
      <c r="C3" s="3"/>
      <c r="D3" s="4"/>
      <c r="E3" s="4"/>
      <c r="F3" s="4" t="s">
        <v>43</v>
      </c>
      <c r="G3" s="3" t="s">
        <v>44</v>
      </c>
      <c r="H3" s="5">
        <v>-388000.0</v>
      </c>
      <c r="I3" s="5"/>
      <c r="J3" s="3">
        <f t="shared" si="1"/>
        <v>-388000</v>
      </c>
      <c r="K3" s="12"/>
      <c r="L3" s="13"/>
      <c r="M3" s="4"/>
      <c r="N3" s="3"/>
      <c r="O3" s="4"/>
      <c r="P3" s="4"/>
      <c r="Q3" s="4"/>
    </row>
    <row r="4">
      <c r="A4" s="14"/>
      <c r="B4" s="3"/>
      <c r="C4" s="3"/>
      <c r="D4" s="4"/>
      <c r="E4" s="4"/>
      <c r="F4" s="4" t="s">
        <v>43</v>
      </c>
      <c r="G4" s="3" t="s">
        <v>45</v>
      </c>
      <c r="H4" s="5">
        <v>-5880000.0</v>
      </c>
      <c r="I4" s="5"/>
      <c r="J4" s="3">
        <f t="shared" si="1"/>
        <v>-5880000</v>
      </c>
      <c r="K4" s="12"/>
      <c r="L4" s="13"/>
      <c r="M4" s="4"/>
      <c r="N4" s="3"/>
      <c r="O4" s="4"/>
      <c r="P4" s="4"/>
      <c r="Q4" s="4"/>
    </row>
    <row r="5">
      <c r="A5" s="14"/>
      <c r="B5" s="3"/>
      <c r="C5" s="3"/>
      <c r="D5" s="4"/>
      <c r="E5" s="4"/>
      <c r="F5" s="42" t="s">
        <v>46</v>
      </c>
      <c r="G5" s="43" t="s">
        <v>47</v>
      </c>
      <c r="H5" s="44">
        <v>-8800000.0</v>
      </c>
      <c r="I5" s="16"/>
      <c r="J5" s="15"/>
      <c r="K5" s="12"/>
      <c r="L5" s="13"/>
      <c r="M5" s="4"/>
      <c r="N5" s="3"/>
      <c r="O5" s="4"/>
      <c r="P5" s="4"/>
      <c r="Q5" s="4"/>
    </row>
    <row r="6">
      <c r="A6" s="17" t="s">
        <v>17</v>
      </c>
      <c r="B6" s="18">
        <f>-L2</f>
        <v>0</v>
      </c>
      <c r="C6" s="3"/>
      <c r="D6" s="4"/>
      <c r="E6" s="4"/>
      <c r="F6" s="42" t="s">
        <v>48</v>
      </c>
      <c r="G6" s="43" t="s">
        <v>49</v>
      </c>
      <c r="H6" s="44">
        <v>-2.0E7</v>
      </c>
      <c r="I6" s="16"/>
      <c r="J6" s="15"/>
      <c r="K6" s="12"/>
      <c r="L6" s="13"/>
      <c r="M6" s="4"/>
      <c r="N6" s="3"/>
      <c r="O6" s="4"/>
      <c r="P6" s="4"/>
      <c r="Q6" s="4"/>
    </row>
    <row r="7">
      <c r="A7" s="14"/>
      <c r="B7" s="19">
        <f>B6+SUM(B1:B3)</f>
        <v>18565813</v>
      </c>
      <c r="C7" s="3"/>
      <c r="D7" s="4"/>
      <c r="E7" s="4"/>
      <c r="F7" s="42" t="s">
        <v>48</v>
      </c>
      <c r="G7" s="43" t="s">
        <v>50</v>
      </c>
      <c r="H7" s="44"/>
      <c r="I7" s="44">
        <v>800000.0</v>
      </c>
      <c r="J7" s="12"/>
      <c r="K7" s="15"/>
      <c r="L7" s="16"/>
      <c r="M7" s="4"/>
      <c r="N7" s="3"/>
      <c r="O7" s="4"/>
      <c r="P7" s="4"/>
      <c r="Q7" s="4"/>
    </row>
    <row r="8">
      <c r="A8" s="20" t="s">
        <v>22</v>
      </c>
      <c r="B8" s="21">
        <v>1.4E7</v>
      </c>
      <c r="C8" s="3"/>
      <c r="D8" s="4"/>
      <c r="E8" s="4"/>
      <c r="F8" s="22">
        <v>46064.0</v>
      </c>
      <c r="G8" s="15" t="s">
        <v>51</v>
      </c>
      <c r="H8" s="16">
        <f>-6500000-700000</f>
        <v>-7200000</v>
      </c>
      <c r="I8" s="16"/>
      <c r="J8" s="23"/>
      <c r="K8" s="12"/>
      <c r="L8" s="16"/>
      <c r="M8" s="4"/>
      <c r="N8" s="3"/>
      <c r="O8" s="4"/>
      <c r="P8" s="4"/>
      <c r="Q8" s="4"/>
    </row>
    <row r="9">
      <c r="A9" s="24" t="s">
        <v>24</v>
      </c>
      <c r="B9" s="21"/>
      <c r="C9" s="3"/>
      <c r="D9" s="4"/>
      <c r="E9" s="4"/>
      <c r="F9" s="45">
        <v>46064.0</v>
      </c>
      <c r="G9" s="42" t="s">
        <v>52</v>
      </c>
      <c r="H9" s="44"/>
      <c r="I9" s="44">
        <v>1.3E7</v>
      </c>
      <c r="J9" s="15"/>
      <c r="K9" s="12"/>
      <c r="L9" s="13"/>
      <c r="M9" s="4"/>
      <c r="N9" s="3"/>
      <c r="O9" s="4"/>
      <c r="P9" s="4"/>
      <c r="Q9" s="4"/>
    </row>
    <row r="10">
      <c r="A10" s="26" t="s">
        <v>25</v>
      </c>
      <c r="B10" s="27">
        <v>1.9E7</v>
      </c>
      <c r="C10" s="3"/>
      <c r="D10" s="4"/>
      <c r="E10" s="4"/>
      <c r="F10" s="22">
        <v>46064.0</v>
      </c>
      <c r="G10" s="15" t="s">
        <v>53</v>
      </c>
      <c r="H10" s="16">
        <v>-3500000.0</v>
      </c>
      <c r="I10" s="16"/>
      <c r="J10" s="15"/>
      <c r="K10" s="12"/>
      <c r="L10" s="13"/>
      <c r="M10" s="4"/>
      <c r="N10" s="3"/>
      <c r="O10" s="4"/>
      <c r="P10" s="4"/>
      <c r="Q10" s="4"/>
    </row>
    <row r="11">
      <c r="A11" s="26" t="s">
        <v>26</v>
      </c>
      <c r="B11" s="27">
        <f>18000000+1563559+10828125+6000000+50000000+5000000</f>
        <v>91391684</v>
      </c>
      <c r="C11" s="3"/>
      <c r="D11" s="4"/>
      <c r="E11" s="4"/>
      <c r="F11" s="45">
        <v>46064.0</v>
      </c>
      <c r="G11" s="43" t="s">
        <v>54</v>
      </c>
      <c r="H11" s="44"/>
      <c r="I11" s="44">
        <v>2.8E7</v>
      </c>
      <c r="J11" s="15"/>
      <c r="K11" s="12"/>
      <c r="L11" s="13"/>
      <c r="M11" s="4"/>
      <c r="N11" s="3"/>
      <c r="O11" s="4"/>
      <c r="P11" s="4"/>
      <c r="Q11" s="4"/>
    </row>
    <row r="12">
      <c r="A12" s="26" t="s">
        <v>27</v>
      </c>
      <c r="B12" s="27">
        <v>1.0E7</v>
      </c>
      <c r="C12" s="3"/>
      <c r="D12" s="4"/>
      <c r="E12" s="4"/>
      <c r="F12" s="22">
        <v>46064.0</v>
      </c>
      <c r="G12" s="15" t="s">
        <v>55</v>
      </c>
      <c r="H12" s="16">
        <v>-1004400.0</v>
      </c>
      <c r="I12" s="16"/>
      <c r="J12" s="15"/>
      <c r="K12" s="12"/>
      <c r="L12" s="13"/>
      <c r="M12" s="4"/>
      <c r="N12" s="3"/>
      <c r="O12" s="4"/>
      <c r="P12" s="4"/>
      <c r="Q12" s="4"/>
    </row>
    <row r="13">
      <c r="A13" s="28" t="s">
        <v>28</v>
      </c>
      <c r="B13" s="28">
        <f>SUM(B8:B12)-B7</f>
        <v>115825871</v>
      </c>
      <c r="C13" s="3"/>
      <c r="D13" s="4"/>
      <c r="E13" s="4"/>
      <c r="F13" s="22" t="s">
        <v>56</v>
      </c>
      <c r="G13" s="15" t="s">
        <v>57</v>
      </c>
      <c r="H13" s="16">
        <v>-1872720.0</v>
      </c>
      <c r="I13" s="16"/>
      <c r="J13" s="15"/>
      <c r="K13" s="12"/>
      <c r="L13" s="13"/>
      <c r="M13" s="4"/>
      <c r="N13" s="3"/>
      <c r="O13" s="4"/>
      <c r="P13" s="4"/>
      <c r="Q13" s="4"/>
    </row>
    <row r="14">
      <c r="A14" s="29" t="s">
        <v>29</v>
      </c>
      <c r="B14" s="29">
        <f>18000000+10828125+6000000</f>
        <v>34828125</v>
      </c>
      <c r="C14" s="12" t="s">
        <v>30</v>
      </c>
      <c r="D14" s="3">
        <v>1.9E7</v>
      </c>
      <c r="E14" s="4"/>
      <c r="F14" s="12" t="s">
        <v>58</v>
      </c>
      <c r="G14" s="15" t="s">
        <v>59</v>
      </c>
      <c r="H14" s="16">
        <v>-620000.0</v>
      </c>
      <c r="I14" s="16"/>
      <c r="J14" s="15"/>
      <c r="K14" s="12"/>
      <c r="L14" s="13"/>
      <c r="M14" s="4"/>
      <c r="N14" s="3"/>
      <c r="O14" s="4"/>
      <c r="P14" s="4"/>
      <c r="Q14" s="4"/>
    </row>
    <row r="15">
      <c r="A15" s="29" t="s">
        <v>31</v>
      </c>
      <c r="B15" s="29">
        <f>10000000+50000000+5000000+15997746</f>
        <v>80997746</v>
      </c>
      <c r="C15" s="4"/>
      <c r="D15" s="31">
        <f>B13-B14-B15</f>
        <v>0</v>
      </c>
      <c r="E15" s="4"/>
      <c r="F15" s="12" t="s">
        <v>60</v>
      </c>
      <c r="G15" s="15" t="s">
        <v>59</v>
      </c>
      <c r="H15" s="16">
        <v>-500000.0</v>
      </c>
      <c r="I15" s="16"/>
      <c r="J15" s="15"/>
      <c r="K15" s="12"/>
      <c r="L15" s="13"/>
      <c r="M15" s="4"/>
      <c r="N15" s="3"/>
      <c r="O15" s="4"/>
      <c r="P15" s="4"/>
      <c r="Q15" s="4"/>
    </row>
    <row r="16">
      <c r="A16" s="32"/>
      <c r="B16" s="33" t="s">
        <v>32</v>
      </c>
      <c r="C16" s="33" t="s">
        <v>33</v>
      </c>
      <c r="D16" s="32" t="s">
        <v>34</v>
      </c>
      <c r="E16" s="32" t="s">
        <v>35</v>
      </c>
      <c r="F16" s="12" t="s">
        <v>61</v>
      </c>
      <c r="G16" s="15" t="s">
        <v>59</v>
      </c>
      <c r="H16" s="16">
        <v>-550000.0</v>
      </c>
      <c r="I16" s="16"/>
      <c r="J16" s="15"/>
      <c r="K16" s="12"/>
      <c r="L16" s="13"/>
      <c r="M16" s="4"/>
      <c r="N16" s="3"/>
      <c r="O16" s="4"/>
      <c r="P16" s="4"/>
      <c r="Q16" s="4"/>
    </row>
    <row r="17">
      <c r="A17" s="34" t="s">
        <v>36</v>
      </c>
      <c r="B17" s="8">
        <f>C17+B14</f>
        <v>-4390083445</v>
      </c>
      <c r="C17" s="33">
        <f>'01-2026'!B17</f>
        <v>-4424911570</v>
      </c>
      <c r="D17" s="33">
        <v>-4.5E9</v>
      </c>
      <c r="E17" s="33">
        <f t="shared" ref="E17:E18" si="2">B17-D17</f>
        <v>109916555</v>
      </c>
      <c r="F17" s="12" t="s">
        <v>62</v>
      </c>
      <c r="G17" s="15" t="s">
        <v>63</v>
      </c>
      <c r="H17" s="16">
        <v>-1.0638E7</v>
      </c>
      <c r="I17" s="44"/>
      <c r="J17" s="15"/>
      <c r="K17" s="12"/>
      <c r="L17" s="13"/>
      <c r="M17" s="4"/>
      <c r="N17" s="3"/>
      <c r="O17" s="4"/>
      <c r="P17" s="4"/>
      <c r="Q17" s="4"/>
    </row>
    <row r="18">
      <c r="A18" s="34" t="s">
        <v>37</v>
      </c>
      <c r="B18" s="8">
        <f>C18+J2+N2+B15</f>
        <v>-341158994</v>
      </c>
      <c r="C18" s="33">
        <f>'01-2026'!B18</f>
        <v>-392841620</v>
      </c>
      <c r="D18" s="33">
        <v>-1.72699995E8</v>
      </c>
      <c r="E18" s="33">
        <f t="shared" si="2"/>
        <v>-168458999</v>
      </c>
      <c r="F18" s="46">
        <v>46080.0</v>
      </c>
      <c r="G18" s="43" t="s">
        <v>64</v>
      </c>
      <c r="H18" s="44">
        <v>-1.3E7</v>
      </c>
      <c r="I18" s="16"/>
      <c r="J18" s="15"/>
      <c r="K18" s="12"/>
      <c r="L18" s="13"/>
      <c r="M18" s="4"/>
      <c r="N18" s="3"/>
      <c r="O18" s="4"/>
      <c r="P18" s="4"/>
      <c r="Q18" s="4"/>
    </row>
    <row r="19">
      <c r="A19" s="35" t="s">
        <v>38</v>
      </c>
      <c r="B19" s="11">
        <f>B18+B17</f>
        <v>-4731242439</v>
      </c>
      <c r="C19" s="33"/>
      <c r="D19" s="33">
        <f t="shared" ref="D19:E19" si="3">SUM(D17:D18)</f>
        <v>-4672699995</v>
      </c>
      <c r="E19" s="33">
        <f t="shared" si="3"/>
        <v>-58542444</v>
      </c>
      <c r="F19" s="23">
        <v>46080.0</v>
      </c>
      <c r="G19" s="12" t="s">
        <v>65</v>
      </c>
      <c r="H19" s="4"/>
      <c r="I19" s="16">
        <v>3500000.0</v>
      </c>
      <c r="J19" s="15"/>
      <c r="K19" s="12"/>
      <c r="L19" s="13"/>
      <c r="M19" s="4"/>
      <c r="N19" s="3"/>
      <c r="O19" s="4"/>
      <c r="P19" s="4"/>
      <c r="Q19" s="4"/>
    </row>
    <row r="20">
      <c r="A20" s="4"/>
      <c r="B20" s="3"/>
      <c r="C20" s="3"/>
      <c r="D20" s="4"/>
      <c r="E20" s="4"/>
      <c r="F20" s="23">
        <v>46080.0</v>
      </c>
      <c r="G20" s="15" t="s">
        <v>66</v>
      </c>
      <c r="H20" s="16">
        <v>-345000.0</v>
      </c>
      <c r="I20" s="16"/>
      <c r="J20" s="15"/>
      <c r="K20" s="12"/>
      <c r="L20" s="13"/>
      <c r="M20" s="4"/>
      <c r="N20" s="3"/>
      <c r="O20" s="4"/>
      <c r="P20" s="4"/>
      <c r="Q20" s="4"/>
    </row>
    <row r="21" ht="15.75" customHeight="1">
      <c r="A21" s="4"/>
      <c r="B21" s="4"/>
      <c r="C21" s="4"/>
      <c r="D21" s="4"/>
      <c r="E21" s="4"/>
      <c r="F21" s="23">
        <v>46080.0</v>
      </c>
      <c r="G21" s="15" t="s">
        <v>67</v>
      </c>
      <c r="H21" s="16">
        <v>-317000.0</v>
      </c>
      <c r="I21" s="16"/>
      <c r="J21" s="15"/>
      <c r="K21" s="12"/>
      <c r="L21" s="13"/>
      <c r="M21" s="4"/>
      <c r="N21" s="3"/>
      <c r="O21" s="4"/>
      <c r="P21" s="4"/>
      <c r="Q21" s="4"/>
    </row>
    <row r="22" ht="15.75" customHeight="1">
      <c r="A22" s="4" t="s">
        <v>39</v>
      </c>
      <c r="B22" s="4">
        <f>4.7/100</f>
        <v>0.047</v>
      </c>
      <c r="C22" s="4" t="s">
        <v>40</v>
      </c>
      <c r="D22" s="4"/>
      <c r="E22" s="4"/>
      <c r="F22" s="12"/>
      <c r="G22" s="15"/>
      <c r="H22" s="16"/>
      <c r="I22" s="16"/>
      <c r="J22" s="15"/>
      <c r="K22" s="12"/>
      <c r="L22" s="13"/>
      <c r="M22" s="4"/>
      <c r="N22" s="3"/>
      <c r="O22" s="4"/>
      <c r="P22" s="4"/>
      <c r="Q22" s="4"/>
    </row>
    <row r="23" ht="15.75" customHeight="1">
      <c r="A23" s="3" t="s">
        <v>41</v>
      </c>
      <c r="B23" s="36">
        <v>2.0E8</v>
      </c>
      <c r="C23" s="37">
        <v>45987.0</v>
      </c>
      <c r="D23" s="37"/>
      <c r="E23" s="4" t="s">
        <v>42</v>
      </c>
      <c r="F23" s="12"/>
      <c r="G23" s="15"/>
      <c r="H23" s="16"/>
      <c r="I23" s="16"/>
      <c r="J23" s="15"/>
      <c r="K23" s="12"/>
      <c r="L23" s="13"/>
      <c r="M23" s="4"/>
      <c r="N23" s="3"/>
      <c r="O23" s="4"/>
      <c r="P23" s="4"/>
      <c r="Q23" s="4"/>
    </row>
    <row r="24" ht="15.75" customHeight="1">
      <c r="A24" s="3"/>
      <c r="B24" s="36"/>
      <c r="C24" s="3"/>
      <c r="D24" s="38"/>
      <c r="E24" s="39"/>
      <c r="F24" s="12"/>
      <c r="G24" s="15"/>
      <c r="H24" s="16"/>
      <c r="I24" s="16"/>
      <c r="J24" s="15"/>
      <c r="K24" s="12"/>
      <c r="L24" s="13"/>
      <c r="M24" s="4"/>
      <c r="N24" s="3"/>
      <c r="O24" s="4"/>
      <c r="P24" s="4"/>
      <c r="Q24" s="4"/>
    </row>
    <row r="25" ht="15.75" customHeight="1">
      <c r="A25" s="4"/>
      <c r="B25" s="3"/>
      <c r="C25" s="3"/>
      <c r="D25" s="4"/>
      <c r="E25" s="4"/>
      <c r="F25" s="4"/>
      <c r="G25" s="3"/>
      <c r="H25" s="5"/>
      <c r="I25" s="5"/>
      <c r="J25" s="3"/>
      <c r="K25" s="4"/>
      <c r="L25" s="40"/>
      <c r="M25" s="4"/>
      <c r="N25" s="3"/>
      <c r="O25" s="4"/>
      <c r="P25" s="4"/>
      <c r="Q25" s="4"/>
    </row>
    <row r="26" ht="15.75" customHeight="1">
      <c r="A26" s="4"/>
      <c r="B26" s="3"/>
      <c r="C26" s="3"/>
      <c r="D26" s="4"/>
      <c r="E26" s="4"/>
      <c r="F26" s="4"/>
      <c r="G26" s="39"/>
      <c r="H26" s="41"/>
      <c r="I26" s="5"/>
      <c r="J26" s="3"/>
      <c r="K26" s="4"/>
      <c r="L26" s="40"/>
      <c r="M26" s="4"/>
      <c r="N26" s="3"/>
      <c r="O26" s="4"/>
      <c r="P26" s="4"/>
      <c r="Q26" s="4"/>
    </row>
    <row r="27" ht="15.75" customHeight="1">
      <c r="A27" s="4"/>
      <c r="B27" s="3"/>
      <c r="C27" s="3"/>
      <c r="D27" s="4"/>
      <c r="E27" s="4"/>
      <c r="F27" s="4"/>
      <c r="G27" s="3"/>
      <c r="H27" s="5"/>
      <c r="I27" s="5"/>
      <c r="J27" s="3"/>
      <c r="K27" s="4"/>
      <c r="L27" s="40"/>
      <c r="M27" s="4"/>
      <c r="N27" s="3"/>
      <c r="O27" s="4"/>
      <c r="P27" s="4"/>
      <c r="Q27" s="4"/>
    </row>
    <row r="28" ht="15.75" customHeight="1">
      <c r="A28" s="4"/>
      <c r="B28" s="3"/>
      <c r="C28" s="3"/>
      <c r="D28" s="4"/>
      <c r="E28" s="4"/>
      <c r="F28" s="4"/>
      <c r="G28" s="39"/>
      <c r="H28" s="41"/>
      <c r="I28" s="5"/>
      <c r="J28" s="3"/>
      <c r="K28" s="4"/>
      <c r="L28" s="40"/>
      <c r="M28" s="4"/>
      <c r="N28" s="3"/>
      <c r="O28" s="4"/>
      <c r="P28" s="4"/>
      <c r="Q28" s="4"/>
    </row>
    <row r="29" ht="15.75" customHeight="1">
      <c r="A29" s="4"/>
      <c r="B29" s="3"/>
      <c r="C29" s="3"/>
      <c r="D29" s="4"/>
      <c r="E29" s="4"/>
      <c r="F29" s="4"/>
      <c r="G29" s="39"/>
      <c r="H29" s="5"/>
      <c r="I29" s="41"/>
      <c r="J29" s="3"/>
      <c r="K29" s="4"/>
      <c r="L29" s="40"/>
      <c r="M29" s="4"/>
      <c r="N29" s="3"/>
      <c r="O29" s="4"/>
      <c r="P29" s="4"/>
      <c r="Q29" s="4"/>
    </row>
    <row r="30" ht="15.75" customHeight="1">
      <c r="A30" s="4"/>
      <c r="B30" s="3"/>
      <c r="C30" s="3"/>
      <c r="D30" s="4"/>
      <c r="E30" s="4"/>
      <c r="F30" s="4"/>
      <c r="G30" s="3"/>
      <c r="H30" s="5"/>
      <c r="I30" s="5"/>
      <c r="J30" s="3"/>
      <c r="K30" s="4"/>
      <c r="L30" s="40"/>
      <c r="M30" s="4"/>
      <c r="N30" s="3"/>
      <c r="O30" s="4"/>
      <c r="P30" s="4"/>
      <c r="Q30" s="4"/>
    </row>
    <row r="31" ht="15.75" customHeight="1">
      <c r="A31" s="4"/>
      <c r="B31" s="3"/>
      <c r="C31" s="3"/>
      <c r="D31" s="4"/>
      <c r="E31" s="4"/>
      <c r="F31" s="4"/>
      <c r="G31" s="3"/>
      <c r="H31" s="5"/>
      <c r="I31" s="5"/>
      <c r="J31" s="3"/>
      <c r="K31" s="4"/>
      <c r="L31" s="40"/>
      <c r="M31" s="4"/>
      <c r="N31" s="3"/>
      <c r="O31" s="4"/>
      <c r="P31" s="4"/>
      <c r="Q31" s="4"/>
    </row>
    <row r="32" ht="15.75" customHeight="1">
      <c r="A32" s="4"/>
      <c r="B32" s="3"/>
      <c r="C32" s="3"/>
      <c r="D32" s="4"/>
      <c r="E32" s="4"/>
      <c r="F32" s="4"/>
      <c r="G32" s="3"/>
      <c r="H32" s="5"/>
      <c r="I32" s="5"/>
      <c r="J32" s="3"/>
      <c r="K32" s="4"/>
      <c r="L32" s="40"/>
      <c r="M32" s="4"/>
      <c r="N32" s="3"/>
      <c r="O32" s="4"/>
      <c r="P32" s="4"/>
      <c r="Q32" s="4"/>
    </row>
    <row r="33" ht="15.75" customHeight="1">
      <c r="A33" s="4"/>
      <c r="B33" s="3"/>
      <c r="C33" s="3"/>
      <c r="D33" s="4"/>
      <c r="E33" s="4"/>
      <c r="F33" s="4"/>
      <c r="G33" s="3"/>
      <c r="H33" s="5"/>
      <c r="I33" s="5"/>
      <c r="J33" s="3"/>
      <c r="K33" s="4"/>
      <c r="L33" s="40"/>
      <c r="M33" s="4"/>
      <c r="N33" s="3"/>
      <c r="O33" s="4"/>
      <c r="P33" s="4"/>
      <c r="Q33" s="4"/>
    </row>
    <row r="34" ht="15.75" customHeight="1">
      <c r="A34" s="4"/>
      <c r="B34" s="3"/>
      <c r="C34" s="3"/>
      <c r="D34" s="4"/>
      <c r="E34" s="4"/>
      <c r="F34" s="4"/>
      <c r="G34" s="4"/>
      <c r="H34" s="5"/>
      <c r="I34" s="5"/>
      <c r="J34" s="4"/>
      <c r="K34" s="4"/>
      <c r="L34" s="40"/>
      <c r="M34" s="4"/>
      <c r="N34" s="3"/>
      <c r="O34" s="4"/>
      <c r="P34" s="4"/>
      <c r="Q34" s="4"/>
    </row>
    <row r="35" ht="15.75" customHeight="1">
      <c r="A35" s="4"/>
      <c r="B35" s="3"/>
      <c r="C35" s="3"/>
      <c r="D35" s="4"/>
      <c r="E35" s="4"/>
      <c r="F35" s="4"/>
      <c r="G35" s="4"/>
      <c r="H35" s="5"/>
      <c r="I35" s="5"/>
      <c r="J35" s="4"/>
      <c r="K35" s="4"/>
      <c r="L35" s="40"/>
      <c r="M35" s="4"/>
      <c r="N35" s="3"/>
      <c r="O35" s="4"/>
      <c r="P35" s="4"/>
      <c r="Q35" s="4"/>
    </row>
    <row r="36" ht="15.75" customHeight="1">
      <c r="A36" s="4"/>
      <c r="B36" s="3"/>
      <c r="C36" s="3"/>
      <c r="D36" s="4"/>
      <c r="E36" s="4"/>
      <c r="F36" s="4"/>
      <c r="G36" s="4"/>
      <c r="H36" s="5"/>
      <c r="I36" s="5"/>
      <c r="J36" s="4"/>
      <c r="K36" s="4"/>
      <c r="L36" s="40"/>
      <c r="M36" s="4"/>
      <c r="N36" s="3"/>
      <c r="O36" s="4"/>
      <c r="P36" s="4"/>
      <c r="Q36" s="4"/>
    </row>
    <row r="37" ht="15.75" customHeight="1">
      <c r="A37" s="4"/>
      <c r="B37" s="3"/>
      <c r="C37" s="3"/>
      <c r="D37" s="4"/>
      <c r="E37" s="4"/>
      <c r="F37" s="4"/>
      <c r="G37" s="4"/>
      <c r="H37" s="5"/>
      <c r="I37" s="5"/>
      <c r="J37" s="4"/>
      <c r="K37" s="4"/>
      <c r="L37" s="40"/>
      <c r="M37" s="4"/>
      <c r="N37" s="3"/>
      <c r="O37" s="4"/>
      <c r="P37" s="4"/>
      <c r="Q37" s="4"/>
    </row>
    <row r="38" ht="15.75" customHeight="1">
      <c r="A38" s="4"/>
      <c r="B38" s="3"/>
      <c r="C38" s="3"/>
      <c r="D38" s="4"/>
      <c r="E38" s="4"/>
      <c r="F38" s="4"/>
      <c r="G38" s="4"/>
      <c r="H38" s="5"/>
      <c r="I38" s="5"/>
      <c r="J38" s="4"/>
      <c r="K38" s="4"/>
      <c r="L38" s="40"/>
      <c r="M38" s="4"/>
      <c r="N38" s="3"/>
      <c r="O38" s="4"/>
      <c r="P38" s="4"/>
      <c r="Q38" s="4"/>
    </row>
    <row r="39" ht="15.75" customHeight="1">
      <c r="A39" s="4"/>
      <c r="B39" s="3"/>
      <c r="C39" s="3"/>
      <c r="D39" s="4"/>
      <c r="E39" s="4"/>
      <c r="F39" s="4"/>
      <c r="G39" s="4"/>
      <c r="H39" s="5"/>
      <c r="I39" s="5"/>
      <c r="J39" s="4"/>
      <c r="K39" s="4"/>
      <c r="L39" s="40"/>
      <c r="M39" s="4"/>
      <c r="N39" s="3"/>
      <c r="O39" s="4"/>
      <c r="P39" s="4"/>
      <c r="Q39" s="4"/>
    </row>
    <row r="40" ht="15.75" customHeight="1">
      <c r="A40" s="4"/>
      <c r="B40" s="3"/>
      <c r="C40" s="3"/>
      <c r="D40" s="4"/>
      <c r="E40" s="4"/>
      <c r="F40" s="4"/>
      <c r="G40" s="4"/>
      <c r="H40" s="5"/>
      <c r="I40" s="5"/>
      <c r="J40" s="4"/>
      <c r="K40" s="4"/>
      <c r="L40" s="40"/>
      <c r="M40" s="4"/>
      <c r="N40" s="3"/>
      <c r="O40" s="4"/>
      <c r="P40" s="4"/>
      <c r="Q40" s="4"/>
    </row>
    <row r="41" ht="15.75" customHeight="1">
      <c r="A41" s="4"/>
      <c r="B41" s="3"/>
      <c r="C41" s="3"/>
      <c r="D41" s="4"/>
      <c r="E41" s="4"/>
      <c r="F41" s="4"/>
      <c r="G41" s="4"/>
      <c r="H41" s="5"/>
      <c r="I41" s="5"/>
      <c r="J41" s="4"/>
      <c r="K41" s="4"/>
      <c r="L41" s="40"/>
      <c r="M41" s="4"/>
      <c r="N41" s="3"/>
      <c r="O41" s="4"/>
      <c r="P41" s="4"/>
      <c r="Q41" s="4"/>
    </row>
    <row r="42" ht="15.75" customHeight="1">
      <c r="A42" s="4"/>
      <c r="B42" s="3"/>
      <c r="C42" s="3"/>
      <c r="D42" s="4"/>
      <c r="E42" s="4"/>
      <c r="F42" s="4"/>
      <c r="G42" s="4"/>
      <c r="H42" s="5"/>
      <c r="I42" s="5"/>
      <c r="J42" s="4"/>
      <c r="K42" s="4"/>
      <c r="L42" s="40"/>
      <c r="M42" s="4"/>
      <c r="N42" s="3"/>
      <c r="O42" s="4"/>
      <c r="P42" s="4"/>
      <c r="Q42" s="4"/>
    </row>
    <row r="43" ht="15.75" customHeight="1">
      <c r="A43" s="4"/>
      <c r="B43" s="3"/>
      <c r="C43" s="3"/>
      <c r="D43" s="4"/>
      <c r="E43" s="4"/>
      <c r="F43" s="4"/>
      <c r="G43" s="4"/>
      <c r="H43" s="5"/>
      <c r="I43" s="5"/>
      <c r="J43" s="4"/>
      <c r="K43" s="4"/>
      <c r="L43" s="40"/>
      <c r="M43" s="4"/>
      <c r="N43" s="3"/>
      <c r="O43" s="4"/>
      <c r="P43" s="4"/>
      <c r="Q43" s="4"/>
    </row>
    <row r="44" ht="15.75" customHeight="1">
      <c r="A44" s="4"/>
      <c r="B44" s="3"/>
      <c r="C44" s="3"/>
      <c r="D44" s="4"/>
      <c r="E44" s="4"/>
      <c r="F44" s="4"/>
      <c r="G44" s="4"/>
      <c r="H44" s="5"/>
      <c r="I44" s="5"/>
      <c r="J44" s="4"/>
      <c r="K44" s="4"/>
      <c r="L44" s="40"/>
      <c r="M44" s="4"/>
      <c r="N44" s="3"/>
      <c r="O44" s="4"/>
      <c r="P44" s="4"/>
      <c r="Q44" s="4"/>
    </row>
    <row r="45" ht="15.75" customHeight="1">
      <c r="A45" s="4"/>
      <c r="B45" s="3"/>
      <c r="C45" s="3"/>
      <c r="D45" s="4"/>
      <c r="E45" s="4"/>
      <c r="F45" s="4"/>
      <c r="G45" s="4"/>
      <c r="H45" s="5"/>
      <c r="I45" s="5"/>
      <c r="J45" s="4"/>
      <c r="K45" s="4"/>
      <c r="L45" s="40"/>
      <c r="M45" s="4"/>
      <c r="N45" s="3"/>
      <c r="O45" s="4"/>
      <c r="P45" s="4"/>
      <c r="Q45" s="4"/>
    </row>
    <row r="46" ht="15.75" customHeight="1">
      <c r="A46" s="4"/>
      <c r="B46" s="3"/>
      <c r="C46" s="3"/>
      <c r="D46" s="4"/>
      <c r="E46" s="4"/>
      <c r="F46" s="4"/>
      <c r="G46" s="4"/>
      <c r="H46" s="5"/>
      <c r="I46" s="5"/>
      <c r="J46" s="4"/>
      <c r="K46" s="4"/>
      <c r="L46" s="40"/>
      <c r="M46" s="4"/>
      <c r="N46" s="3"/>
      <c r="O46" s="4"/>
      <c r="P46" s="4"/>
      <c r="Q46" s="4"/>
    </row>
    <row r="47" ht="15.75" customHeight="1">
      <c r="A47" s="4"/>
      <c r="B47" s="3"/>
      <c r="C47" s="3"/>
      <c r="D47" s="4"/>
      <c r="E47" s="4"/>
      <c r="F47" s="4"/>
      <c r="G47" s="4"/>
      <c r="H47" s="5"/>
      <c r="I47" s="5"/>
      <c r="J47" s="4"/>
      <c r="K47" s="4"/>
      <c r="L47" s="40"/>
      <c r="M47" s="4"/>
      <c r="N47" s="3"/>
      <c r="O47" s="4"/>
      <c r="P47" s="4"/>
      <c r="Q47" s="4"/>
    </row>
    <row r="48" ht="15.75" customHeight="1">
      <c r="A48" s="4"/>
      <c r="B48" s="3"/>
      <c r="C48" s="3"/>
      <c r="D48" s="4"/>
      <c r="E48" s="4"/>
      <c r="F48" s="4"/>
      <c r="G48" s="4"/>
      <c r="H48" s="5"/>
      <c r="I48" s="5"/>
      <c r="J48" s="4"/>
      <c r="K48" s="4"/>
      <c r="L48" s="40"/>
      <c r="M48" s="4"/>
      <c r="N48" s="3"/>
      <c r="O48" s="4"/>
      <c r="P48" s="4"/>
      <c r="Q48" s="4"/>
    </row>
    <row r="49" ht="15.75" customHeight="1">
      <c r="A49" s="4"/>
      <c r="B49" s="3"/>
      <c r="C49" s="3"/>
      <c r="D49" s="4"/>
      <c r="E49" s="4"/>
      <c r="F49" s="4"/>
      <c r="G49" s="4"/>
      <c r="H49" s="5"/>
      <c r="I49" s="5"/>
      <c r="J49" s="4"/>
      <c r="K49" s="4"/>
      <c r="L49" s="40"/>
      <c r="M49" s="4"/>
      <c r="N49" s="3"/>
      <c r="O49" s="4"/>
      <c r="P49" s="4"/>
      <c r="Q49" s="4"/>
    </row>
    <row r="50" ht="15.75" customHeight="1">
      <c r="A50" s="4"/>
      <c r="B50" s="3"/>
      <c r="C50" s="3"/>
      <c r="D50" s="4"/>
      <c r="E50" s="4"/>
      <c r="F50" s="4"/>
      <c r="G50" s="4"/>
      <c r="H50" s="5"/>
      <c r="I50" s="5"/>
      <c r="J50" s="4"/>
      <c r="K50" s="4"/>
      <c r="L50" s="40"/>
      <c r="M50" s="4"/>
      <c r="N50" s="3"/>
      <c r="O50" s="4"/>
      <c r="P50" s="4"/>
      <c r="Q50" s="4"/>
    </row>
    <row r="51" ht="15.75" customHeight="1">
      <c r="A51" s="4"/>
      <c r="B51" s="3"/>
      <c r="C51" s="3"/>
      <c r="D51" s="4"/>
      <c r="E51" s="4"/>
      <c r="F51" s="4"/>
      <c r="G51" s="4"/>
      <c r="H51" s="5"/>
      <c r="I51" s="5"/>
      <c r="J51" s="4"/>
      <c r="K51" s="4"/>
      <c r="L51" s="40"/>
      <c r="M51" s="4"/>
      <c r="N51" s="3"/>
      <c r="O51" s="4"/>
      <c r="P51" s="4"/>
      <c r="Q51" s="4"/>
    </row>
    <row r="52" ht="15.75" customHeight="1">
      <c r="A52" s="4"/>
      <c r="B52" s="3"/>
      <c r="C52" s="3"/>
      <c r="D52" s="4"/>
      <c r="E52" s="4"/>
      <c r="F52" s="4"/>
      <c r="G52" s="4"/>
      <c r="H52" s="5"/>
      <c r="I52" s="5"/>
      <c r="J52" s="4"/>
      <c r="K52" s="4"/>
      <c r="L52" s="40"/>
      <c r="M52" s="4"/>
      <c r="N52" s="3"/>
      <c r="O52" s="4"/>
      <c r="P52" s="4"/>
      <c r="Q52" s="4"/>
    </row>
    <row r="53" ht="15.75" customHeight="1">
      <c r="A53" s="4"/>
      <c r="B53" s="3"/>
      <c r="C53" s="3"/>
      <c r="D53" s="4"/>
      <c r="E53" s="4"/>
      <c r="F53" s="4"/>
      <c r="G53" s="4"/>
      <c r="H53" s="5"/>
      <c r="I53" s="5"/>
      <c r="J53" s="4"/>
      <c r="K53" s="4"/>
      <c r="L53" s="40"/>
      <c r="M53" s="4"/>
      <c r="N53" s="3"/>
      <c r="O53" s="4"/>
      <c r="P53" s="4"/>
      <c r="Q53" s="4"/>
    </row>
    <row r="54" ht="15.75" customHeight="1">
      <c r="A54" s="4"/>
      <c r="B54" s="3"/>
      <c r="C54" s="3"/>
      <c r="D54" s="4"/>
      <c r="E54" s="4"/>
      <c r="F54" s="4"/>
      <c r="G54" s="4"/>
      <c r="H54" s="5"/>
      <c r="I54" s="5"/>
      <c r="J54" s="4"/>
      <c r="K54" s="4"/>
      <c r="L54" s="40"/>
      <c r="M54" s="4"/>
      <c r="N54" s="3"/>
      <c r="O54" s="4"/>
      <c r="P54" s="4"/>
      <c r="Q54" s="4"/>
    </row>
    <row r="55" ht="15.75" customHeight="1">
      <c r="A55" s="4"/>
      <c r="B55" s="3"/>
      <c r="C55" s="3"/>
      <c r="D55" s="4"/>
      <c r="E55" s="4"/>
      <c r="F55" s="4"/>
      <c r="G55" s="4"/>
      <c r="H55" s="5"/>
      <c r="I55" s="5"/>
      <c r="J55" s="4"/>
      <c r="K55" s="4"/>
      <c r="L55" s="40"/>
      <c r="M55" s="4"/>
      <c r="N55" s="3"/>
      <c r="O55" s="4"/>
      <c r="P55" s="4"/>
      <c r="Q55" s="4"/>
    </row>
    <row r="56" ht="15.75" customHeight="1">
      <c r="A56" s="4"/>
      <c r="B56" s="3"/>
      <c r="C56" s="3"/>
      <c r="D56" s="4"/>
      <c r="E56" s="4"/>
      <c r="F56" s="4"/>
      <c r="G56" s="4"/>
      <c r="H56" s="5"/>
      <c r="I56" s="5"/>
      <c r="J56" s="4"/>
      <c r="K56" s="4"/>
      <c r="L56" s="40"/>
      <c r="M56" s="4"/>
      <c r="N56" s="3"/>
      <c r="O56" s="4"/>
      <c r="P56" s="4"/>
      <c r="Q56" s="4"/>
    </row>
    <row r="57" ht="15.75" customHeight="1">
      <c r="A57" s="4"/>
      <c r="B57" s="3"/>
      <c r="C57" s="3"/>
      <c r="D57" s="4"/>
      <c r="E57" s="4"/>
      <c r="F57" s="4"/>
      <c r="G57" s="4"/>
      <c r="H57" s="5"/>
      <c r="I57" s="5"/>
      <c r="J57" s="4"/>
      <c r="K57" s="4"/>
      <c r="L57" s="40"/>
      <c r="M57" s="4"/>
      <c r="N57" s="3"/>
      <c r="O57" s="4"/>
      <c r="P57" s="4"/>
      <c r="Q57" s="4"/>
    </row>
    <row r="58" ht="15.75" customHeight="1">
      <c r="A58" s="4"/>
      <c r="B58" s="3"/>
      <c r="C58" s="3"/>
      <c r="D58" s="4"/>
      <c r="E58" s="4"/>
      <c r="F58" s="4"/>
      <c r="G58" s="4"/>
      <c r="H58" s="5"/>
      <c r="I58" s="5"/>
      <c r="J58" s="4"/>
      <c r="K58" s="4"/>
      <c r="L58" s="40"/>
      <c r="M58" s="4"/>
      <c r="N58" s="3"/>
      <c r="O58" s="4"/>
      <c r="P58" s="4"/>
      <c r="Q58" s="4"/>
    </row>
    <row r="59" ht="15.75" customHeight="1">
      <c r="A59" s="4"/>
      <c r="B59" s="3"/>
      <c r="C59" s="3"/>
      <c r="D59" s="4"/>
      <c r="E59" s="4"/>
      <c r="F59" s="4"/>
      <c r="G59" s="4"/>
      <c r="H59" s="5"/>
      <c r="I59" s="5"/>
      <c r="J59" s="4"/>
      <c r="K59" s="4"/>
      <c r="L59" s="40"/>
      <c r="M59" s="4"/>
      <c r="N59" s="3"/>
      <c r="O59" s="4"/>
      <c r="P59" s="4"/>
      <c r="Q59" s="4"/>
    </row>
    <row r="60" ht="15.75" customHeight="1">
      <c r="A60" s="4"/>
      <c r="B60" s="3"/>
      <c r="C60" s="3"/>
      <c r="D60" s="4"/>
      <c r="E60" s="4"/>
      <c r="F60" s="4"/>
      <c r="G60" s="4"/>
      <c r="H60" s="5"/>
      <c r="I60" s="5"/>
      <c r="J60" s="4"/>
      <c r="K60" s="4"/>
      <c r="L60" s="40"/>
      <c r="M60" s="4"/>
      <c r="N60" s="3"/>
      <c r="O60" s="4"/>
      <c r="P60" s="4"/>
      <c r="Q60" s="4"/>
    </row>
    <row r="61" ht="15.75" customHeight="1">
      <c r="A61" s="4"/>
      <c r="B61" s="3"/>
      <c r="C61" s="3"/>
      <c r="D61" s="4"/>
      <c r="E61" s="4"/>
      <c r="F61" s="4"/>
      <c r="G61" s="4"/>
      <c r="H61" s="5"/>
      <c r="I61" s="5"/>
      <c r="J61" s="4"/>
      <c r="K61" s="4"/>
      <c r="L61" s="40"/>
      <c r="M61" s="4"/>
      <c r="N61" s="3"/>
      <c r="O61" s="4"/>
      <c r="P61" s="4"/>
      <c r="Q61" s="4"/>
    </row>
    <row r="62" ht="15.75" customHeight="1">
      <c r="A62" s="4"/>
      <c r="B62" s="3"/>
      <c r="C62" s="3"/>
      <c r="D62" s="4"/>
      <c r="E62" s="4"/>
      <c r="F62" s="4"/>
      <c r="G62" s="4"/>
      <c r="H62" s="5"/>
      <c r="I62" s="5"/>
      <c r="J62" s="4"/>
      <c r="K62" s="4"/>
      <c r="L62" s="40"/>
      <c r="M62" s="4"/>
      <c r="N62" s="3"/>
      <c r="O62" s="4"/>
      <c r="P62" s="4"/>
      <c r="Q62" s="4"/>
    </row>
    <row r="63" ht="15.75" customHeight="1">
      <c r="A63" s="4"/>
      <c r="B63" s="3"/>
      <c r="C63" s="3"/>
      <c r="D63" s="4"/>
      <c r="E63" s="4"/>
      <c r="F63" s="4"/>
      <c r="G63" s="4"/>
      <c r="H63" s="5"/>
      <c r="I63" s="5"/>
      <c r="J63" s="4"/>
      <c r="K63" s="4"/>
      <c r="L63" s="40"/>
      <c r="M63" s="4"/>
      <c r="N63" s="3"/>
      <c r="O63" s="4"/>
      <c r="P63" s="4"/>
      <c r="Q63" s="4"/>
    </row>
    <row r="64" ht="15.75" customHeight="1">
      <c r="A64" s="4"/>
      <c r="B64" s="3"/>
      <c r="C64" s="3"/>
      <c r="D64" s="4"/>
      <c r="E64" s="4"/>
      <c r="F64" s="4"/>
      <c r="G64" s="4"/>
      <c r="H64" s="5"/>
      <c r="I64" s="5"/>
      <c r="J64" s="4"/>
      <c r="K64" s="4"/>
      <c r="L64" s="40"/>
      <c r="M64" s="4"/>
      <c r="N64" s="3"/>
      <c r="O64" s="4"/>
      <c r="P64" s="4"/>
      <c r="Q64" s="4"/>
    </row>
    <row r="65" ht="15.75" customHeight="1">
      <c r="A65" s="4"/>
      <c r="B65" s="3"/>
      <c r="C65" s="3"/>
      <c r="D65" s="4"/>
      <c r="E65" s="4"/>
      <c r="F65" s="4"/>
      <c r="G65" s="4"/>
      <c r="H65" s="5"/>
      <c r="I65" s="5"/>
      <c r="J65" s="4"/>
      <c r="K65" s="4"/>
      <c r="L65" s="40"/>
      <c r="M65" s="4"/>
      <c r="N65" s="3"/>
      <c r="O65" s="4"/>
      <c r="P65" s="4"/>
      <c r="Q65" s="4"/>
    </row>
    <row r="66" ht="15.75" customHeight="1">
      <c r="A66" s="4"/>
      <c r="B66" s="3"/>
      <c r="C66" s="3"/>
      <c r="D66" s="4"/>
      <c r="E66" s="4"/>
      <c r="F66" s="4"/>
      <c r="G66" s="4"/>
      <c r="H66" s="5"/>
      <c r="I66" s="5"/>
      <c r="J66" s="4"/>
      <c r="K66" s="4"/>
      <c r="L66" s="40"/>
      <c r="M66" s="4"/>
      <c r="N66" s="3"/>
      <c r="O66" s="4"/>
      <c r="P66" s="4"/>
      <c r="Q66" s="4"/>
    </row>
    <row r="67" ht="15.75" customHeight="1">
      <c r="A67" s="4"/>
      <c r="B67" s="3"/>
      <c r="C67" s="3"/>
      <c r="D67" s="4"/>
      <c r="E67" s="4"/>
      <c r="F67" s="4"/>
      <c r="G67" s="4"/>
      <c r="H67" s="5"/>
      <c r="I67" s="5"/>
      <c r="J67" s="4"/>
      <c r="K67" s="4"/>
      <c r="L67" s="40"/>
      <c r="M67" s="4"/>
      <c r="N67" s="3"/>
      <c r="O67" s="4"/>
      <c r="P67" s="4"/>
      <c r="Q67" s="4"/>
    </row>
    <row r="68" ht="15.75" customHeight="1">
      <c r="A68" s="4"/>
      <c r="B68" s="3"/>
      <c r="C68" s="3"/>
      <c r="D68" s="4"/>
      <c r="E68" s="4"/>
      <c r="F68" s="4"/>
      <c r="G68" s="4"/>
      <c r="H68" s="5"/>
      <c r="I68" s="5"/>
      <c r="J68" s="4"/>
      <c r="K68" s="4"/>
      <c r="L68" s="40"/>
      <c r="M68" s="4"/>
      <c r="N68" s="3"/>
      <c r="O68" s="4"/>
      <c r="P68" s="4"/>
      <c r="Q68" s="4"/>
    </row>
    <row r="69" ht="15.75" customHeight="1">
      <c r="A69" s="4"/>
      <c r="B69" s="3"/>
      <c r="C69" s="3"/>
      <c r="D69" s="4"/>
      <c r="E69" s="4"/>
      <c r="F69" s="4"/>
      <c r="G69" s="4"/>
      <c r="H69" s="5"/>
      <c r="I69" s="5"/>
      <c r="J69" s="4"/>
      <c r="K69" s="4"/>
      <c r="L69" s="40"/>
      <c r="M69" s="4"/>
      <c r="N69" s="3"/>
      <c r="O69" s="4"/>
      <c r="P69" s="4"/>
      <c r="Q69" s="4"/>
    </row>
    <row r="70" ht="15.75" customHeight="1">
      <c r="A70" s="4"/>
      <c r="B70" s="3"/>
      <c r="C70" s="3"/>
      <c r="D70" s="4"/>
      <c r="E70" s="4"/>
      <c r="F70" s="4"/>
      <c r="G70" s="4"/>
      <c r="H70" s="5"/>
      <c r="I70" s="5"/>
      <c r="J70" s="4"/>
      <c r="K70" s="4"/>
      <c r="L70" s="40"/>
      <c r="M70" s="4"/>
      <c r="N70" s="3"/>
      <c r="O70" s="4"/>
      <c r="P70" s="4"/>
      <c r="Q70" s="4"/>
    </row>
    <row r="71" ht="15.75" customHeight="1">
      <c r="A71" s="4"/>
      <c r="B71" s="3"/>
      <c r="C71" s="3"/>
      <c r="D71" s="4"/>
      <c r="E71" s="4"/>
      <c r="F71" s="4"/>
      <c r="G71" s="4"/>
      <c r="H71" s="5"/>
      <c r="I71" s="5"/>
      <c r="J71" s="4"/>
      <c r="K71" s="4"/>
      <c r="L71" s="40"/>
      <c r="M71" s="4"/>
      <c r="N71" s="3"/>
      <c r="O71" s="4"/>
      <c r="P71" s="4"/>
      <c r="Q71" s="4"/>
    </row>
    <row r="72" ht="15.75" customHeight="1">
      <c r="A72" s="4"/>
      <c r="B72" s="3"/>
      <c r="C72" s="3"/>
      <c r="D72" s="4"/>
      <c r="E72" s="4"/>
      <c r="F72" s="4"/>
      <c r="G72" s="4"/>
      <c r="H72" s="5"/>
      <c r="I72" s="5"/>
      <c r="J72" s="4"/>
      <c r="K72" s="4"/>
      <c r="L72" s="40"/>
      <c r="M72" s="4"/>
      <c r="N72" s="3"/>
      <c r="O72" s="4"/>
      <c r="P72" s="4"/>
      <c r="Q72" s="4"/>
    </row>
    <row r="73" ht="15.75" customHeight="1">
      <c r="A73" s="4"/>
      <c r="B73" s="3"/>
      <c r="C73" s="3"/>
      <c r="D73" s="4"/>
      <c r="E73" s="4"/>
      <c r="F73" s="4"/>
      <c r="G73" s="4"/>
      <c r="H73" s="5"/>
      <c r="I73" s="5"/>
      <c r="J73" s="4"/>
      <c r="K73" s="4"/>
      <c r="L73" s="40"/>
      <c r="M73" s="4"/>
      <c r="N73" s="3"/>
      <c r="O73" s="4"/>
      <c r="P73" s="4"/>
      <c r="Q73" s="4"/>
    </row>
    <row r="74" ht="15.75" customHeight="1">
      <c r="A74" s="4"/>
      <c r="B74" s="3"/>
      <c r="C74" s="3"/>
      <c r="D74" s="4"/>
      <c r="E74" s="4"/>
      <c r="F74" s="4"/>
      <c r="G74" s="4"/>
      <c r="H74" s="5"/>
      <c r="I74" s="5"/>
      <c r="J74" s="4"/>
      <c r="K74" s="4"/>
      <c r="L74" s="40"/>
      <c r="M74" s="4"/>
      <c r="N74" s="3"/>
      <c r="O74" s="4"/>
      <c r="P74" s="4"/>
      <c r="Q74" s="4"/>
    </row>
    <row r="75" ht="15.75" customHeight="1">
      <c r="A75" s="4"/>
      <c r="B75" s="3"/>
      <c r="C75" s="3"/>
      <c r="D75" s="4"/>
      <c r="E75" s="4"/>
      <c r="F75" s="4"/>
      <c r="G75" s="4"/>
      <c r="H75" s="5"/>
      <c r="I75" s="5"/>
      <c r="J75" s="4"/>
      <c r="K75" s="4"/>
      <c r="L75" s="40"/>
      <c r="M75" s="4"/>
      <c r="N75" s="3"/>
      <c r="O75" s="4"/>
      <c r="P75" s="4"/>
      <c r="Q75" s="4"/>
    </row>
    <row r="76" ht="15.75" customHeight="1">
      <c r="A76" s="4"/>
      <c r="B76" s="3"/>
      <c r="C76" s="3"/>
      <c r="D76" s="4"/>
      <c r="E76" s="4"/>
      <c r="F76" s="4"/>
      <c r="G76" s="4"/>
      <c r="H76" s="5"/>
      <c r="I76" s="5"/>
      <c r="J76" s="4"/>
      <c r="K76" s="4"/>
      <c r="L76" s="40"/>
      <c r="M76" s="4"/>
      <c r="N76" s="3"/>
      <c r="O76" s="4"/>
      <c r="P76" s="4"/>
      <c r="Q76" s="4"/>
    </row>
    <row r="77" ht="15.75" customHeight="1">
      <c r="A77" s="4"/>
      <c r="B77" s="3"/>
      <c r="C77" s="3"/>
      <c r="D77" s="4"/>
      <c r="E77" s="4"/>
      <c r="F77" s="4"/>
      <c r="G77" s="4"/>
      <c r="H77" s="5"/>
      <c r="I77" s="5"/>
      <c r="J77" s="4"/>
      <c r="K77" s="4"/>
      <c r="L77" s="40"/>
      <c r="M77" s="4"/>
      <c r="N77" s="3"/>
      <c r="O77" s="4"/>
      <c r="P77" s="4"/>
      <c r="Q77" s="4"/>
    </row>
    <row r="78" ht="15.75" customHeight="1">
      <c r="A78" s="4"/>
      <c r="B78" s="3"/>
      <c r="C78" s="3"/>
      <c r="D78" s="4"/>
      <c r="E78" s="4"/>
      <c r="F78" s="4"/>
      <c r="G78" s="4"/>
      <c r="H78" s="5"/>
      <c r="I78" s="5"/>
      <c r="J78" s="4"/>
      <c r="K78" s="4"/>
      <c r="L78" s="40"/>
      <c r="M78" s="4"/>
      <c r="N78" s="3"/>
      <c r="O78" s="4"/>
      <c r="P78" s="4"/>
      <c r="Q78" s="4"/>
    </row>
    <row r="79" ht="15.75" customHeight="1">
      <c r="A79" s="4"/>
      <c r="B79" s="3"/>
      <c r="C79" s="3"/>
      <c r="D79" s="4"/>
      <c r="E79" s="4"/>
      <c r="F79" s="4"/>
      <c r="G79" s="4"/>
      <c r="H79" s="5"/>
      <c r="I79" s="5"/>
      <c r="J79" s="4"/>
      <c r="K79" s="4"/>
      <c r="L79" s="40"/>
      <c r="M79" s="4"/>
      <c r="N79" s="3"/>
      <c r="O79" s="4"/>
      <c r="P79" s="4"/>
      <c r="Q79" s="4"/>
    </row>
    <row r="80" ht="15.75" customHeight="1">
      <c r="A80" s="4"/>
      <c r="B80" s="3"/>
      <c r="C80" s="3"/>
      <c r="D80" s="4"/>
      <c r="E80" s="4"/>
      <c r="F80" s="4"/>
      <c r="G80" s="4"/>
      <c r="H80" s="5"/>
      <c r="I80" s="5"/>
      <c r="J80" s="4"/>
      <c r="K80" s="4"/>
      <c r="L80" s="40"/>
      <c r="M80" s="4"/>
      <c r="N80" s="3"/>
      <c r="O80" s="4"/>
      <c r="P80" s="4"/>
      <c r="Q80" s="4"/>
    </row>
    <row r="81" ht="15.75" customHeight="1">
      <c r="A81" s="4"/>
      <c r="B81" s="3"/>
      <c r="C81" s="3"/>
      <c r="D81" s="4"/>
      <c r="E81" s="4"/>
      <c r="F81" s="4"/>
      <c r="G81" s="4"/>
      <c r="H81" s="5"/>
      <c r="I81" s="5"/>
      <c r="J81" s="4"/>
      <c r="K81" s="4"/>
      <c r="L81" s="40"/>
      <c r="M81" s="4"/>
      <c r="N81" s="3"/>
      <c r="O81" s="4"/>
      <c r="P81" s="4"/>
      <c r="Q81" s="4"/>
    </row>
    <row r="82" ht="15.75" customHeight="1">
      <c r="A82" s="4"/>
      <c r="B82" s="3"/>
      <c r="C82" s="3"/>
      <c r="D82" s="4"/>
      <c r="E82" s="4"/>
      <c r="F82" s="4"/>
      <c r="G82" s="4"/>
      <c r="H82" s="5"/>
      <c r="I82" s="5"/>
      <c r="J82" s="4"/>
      <c r="K82" s="4"/>
      <c r="L82" s="40"/>
      <c r="M82" s="4"/>
      <c r="N82" s="3"/>
      <c r="O82" s="4"/>
      <c r="P82" s="4"/>
      <c r="Q82" s="4"/>
    </row>
    <row r="83" ht="15.75" customHeight="1">
      <c r="A83" s="4"/>
      <c r="B83" s="3"/>
      <c r="C83" s="3"/>
      <c r="D83" s="4"/>
      <c r="E83" s="4"/>
      <c r="F83" s="4"/>
      <c r="G83" s="4"/>
      <c r="H83" s="5"/>
      <c r="I83" s="5"/>
      <c r="J83" s="4"/>
      <c r="K83" s="4"/>
      <c r="L83" s="40"/>
      <c r="M83" s="4"/>
      <c r="N83" s="3"/>
      <c r="O83" s="4"/>
      <c r="P83" s="4"/>
      <c r="Q83" s="4"/>
    </row>
    <row r="84" ht="15.75" customHeight="1">
      <c r="A84" s="4"/>
      <c r="B84" s="3"/>
      <c r="C84" s="3"/>
      <c r="D84" s="4"/>
      <c r="E84" s="4"/>
      <c r="F84" s="4"/>
      <c r="G84" s="4"/>
      <c r="H84" s="5"/>
      <c r="I84" s="5"/>
      <c r="J84" s="4"/>
      <c r="K84" s="4"/>
      <c r="L84" s="40"/>
      <c r="M84" s="4"/>
      <c r="N84" s="3"/>
      <c r="O84" s="4"/>
      <c r="P84" s="4"/>
      <c r="Q84" s="4"/>
    </row>
    <row r="85" ht="15.75" customHeight="1">
      <c r="A85" s="4"/>
      <c r="B85" s="3"/>
      <c r="C85" s="3"/>
      <c r="D85" s="4"/>
      <c r="E85" s="4"/>
      <c r="F85" s="4"/>
      <c r="G85" s="4"/>
      <c r="H85" s="5"/>
      <c r="I85" s="5"/>
      <c r="J85" s="4"/>
      <c r="K85" s="4"/>
      <c r="L85" s="40"/>
      <c r="M85" s="4"/>
      <c r="N85" s="3"/>
      <c r="O85" s="4"/>
      <c r="P85" s="4"/>
      <c r="Q85" s="4"/>
    </row>
    <row r="86" ht="15.75" customHeight="1">
      <c r="A86" s="4"/>
      <c r="B86" s="3"/>
      <c r="C86" s="3"/>
      <c r="D86" s="4"/>
      <c r="E86" s="4"/>
      <c r="F86" s="4"/>
      <c r="G86" s="4"/>
      <c r="H86" s="5"/>
      <c r="I86" s="5"/>
      <c r="J86" s="4"/>
      <c r="K86" s="4"/>
      <c r="L86" s="40"/>
      <c r="M86" s="4"/>
      <c r="N86" s="3"/>
      <c r="O86" s="4"/>
      <c r="P86" s="4"/>
      <c r="Q86" s="4"/>
    </row>
    <row r="87" ht="15.75" customHeight="1">
      <c r="A87" s="4"/>
      <c r="B87" s="3"/>
      <c r="C87" s="3"/>
      <c r="D87" s="4"/>
      <c r="E87" s="4"/>
      <c r="F87" s="4"/>
      <c r="G87" s="4"/>
      <c r="H87" s="5"/>
      <c r="I87" s="5"/>
      <c r="J87" s="4"/>
      <c r="K87" s="4"/>
      <c r="L87" s="40"/>
      <c r="M87" s="4"/>
      <c r="N87" s="3"/>
      <c r="O87" s="4"/>
      <c r="P87" s="4"/>
      <c r="Q87" s="4"/>
    </row>
    <row r="88" ht="15.75" customHeight="1">
      <c r="A88" s="4"/>
      <c r="B88" s="3"/>
      <c r="C88" s="3"/>
      <c r="D88" s="4"/>
      <c r="E88" s="4"/>
      <c r="F88" s="4"/>
      <c r="G88" s="4"/>
      <c r="H88" s="5"/>
      <c r="I88" s="5"/>
      <c r="J88" s="4"/>
      <c r="K88" s="4"/>
      <c r="L88" s="40"/>
      <c r="M88" s="4"/>
      <c r="N88" s="3"/>
      <c r="O88" s="4"/>
      <c r="P88" s="4"/>
      <c r="Q88" s="4"/>
    </row>
    <row r="89" ht="15.75" customHeight="1">
      <c r="A89" s="4"/>
      <c r="B89" s="3"/>
      <c r="C89" s="3"/>
      <c r="D89" s="4"/>
      <c r="E89" s="4"/>
      <c r="F89" s="4"/>
      <c r="G89" s="4"/>
      <c r="H89" s="5"/>
      <c r="I89" s="5"/>
      <c r="J89" s="4"/>
      <c r="K89" s="4"/>
      <c r="L89" s="40"/>
      <c r="M89" s="4"/>
      <c r="N89" s="3"/>
      <c r="O89" s="4"/>
      <c r="P89" s="4"/>
      <c r="Q89" s="4"/>
    </row>
    <row r="90" ht="15.75" customHeight="1">
      <c r="A90" s="4"/>
      <c r="B90" s="3"/>
      <c r="C90" s="3"/>
      <c r="D90" s="4"/>
      <c r="E90" s="4"/>
      <c r="F90" s="4"/>
      <c r="G90" s="4"/>
      <c r="H90" s="5"/>
      <c r="I90" s="5"/>
      <c r="J90" s="4"/>
      <c r="K90" s="4"/>
      <c r="L90" s="40"/>
      <c r="M90" s="4"/>
      <c r="N90" s="3"/>
      <c r="O90" s="4"/>
      <c r="P90" s="4"/>
      <c r="Q90" s="4"/>
    </row>
    <row r="91" ht="15.75" customHeight="1">
      <c r="A91" s="4"/>
      <c r="B91" s="3"/>
      <c r="C91" s="3"/>
      <c r="D91" s="4"/>
      <c r="E91" s="4"/>
      <c r="F91" s="4"/>
      <c r="G91" s="4"/>
      <c r="H91" s="5"/>
      <c r="I91" s="5"/>
      <c r="J91" s="4"/>
      <c r="K91" s="4"/>
      <c r="L91" s="40"/>
      <c r="M91" s="4"/>
      <c r="N91" s="3"/>
      <c r="O91" s="4"/>
      <c r="P91" s="4"/>
      <c r="Q91" s="4"/>
    </row>
    <row r="92" ht="15.75" customHeight="1">
      <c r="A92" s="4"/>
      <c r="B92" s="3"/>
      <c r="C92" s="3"/>
      <c r="D92" s="4"/>
      <c r="E92" s="4"/>
      <c r="F92" s="4"/>
      <c r="G92" s="4"/>
      <c r="H92" s="5"/>
      <c r="I92" s="5"/>
      <c r="J92" s="4"/>
      <c r="K92" s="4"/>
      <c r="L92" s="40"/>
      <c r="M92" s="4"/>
      <c r="N92" s="3"/>
      <c r="O92" s="4"/>
      <c r="P92" s="4"/>
      <c r="Q92" s="4"/>
    </row>
    <row r="93" ht="15.75" customHeight="1">
      <c r="A93" s="4"/>
      <c r="B93" s="3"/>
      <c r="C93" s="3"/>
      <c r="D93" s="4"/>
      <c r="E93" s="4"/>
      <c r="F93" s="4"/>
      <c r="G93" s="4"/>
      <c r="H93" s="5"/>
      <c r="I93" s="5"/>
      <c r="J93" s="4"/>
      <c r="K93" s="4"/>
      <c r="L93" s="40"/>
      <c r="M93" s="4"/>
      <c r="N93" s="3"/>
      <c r="O93" s="4"/>
      <c r="P93" s="4"/>
      <c r="Q93" s="4"/>
    </row>
    <row r="94" ht="15.75" customHeight="1">
      <c r="A94" s="4"/>
      <c r="B94" s="3"/>
      <c r="C94" s="3"/>
      <c r="D94" s="4"/>
      <c r="E94" s="4"/>
      <c r="F94" s="4"/>
      <c r="G94" s="4"/>
      <c r="H94" s="5"/>
      <c r="I94" s="5"/>
      <c r="J94" s="4"/>
      <c r="K94" s="4"/>
      <c r="L94" s="40"/>
      <c r="M94" s="4"/>
      <c r="N94" s="3"/>
      <c r="O94" s="4"/>
      <c r="P94" s="4"/>
      <c r="Q94" s="4"/>
    </row>
    <row r="95" ht="15.75" customHeight="1">
      <c r="A95" s="4"/>
      <c r="B95" s="3"/>
      <c r="C95" s="3"/>
      <c r="D95" s="4"/>
      <c r="E95" s="4"/>
      <c r="F95" s="4"/>
      <c r="G95" s="4"/>
      <c r="H95" s="5"/>
      <c r="I95" s="5"/>
      <c r="J95" s="4"/>
      <c r="K95" s="4"/>
      <c r="L95" s="40"/>
      <c r="M95" s="4"/>
      <c r="N95" s="3"/>
      <c r="O95" s="4"/>
      <c r="P95" s="4"/>
      <c r="Q95" s="4"/>
    </row>
    <row r="96" ht="15.75" customHeight="1">
      <c r="A96" s="4"/>
      <c r="B96" s="3"/>
      <c r="C96" s="3"/>
      <c r="D96" s="4"/>
      <c r="E96" s="4"/>
      <c r="F96" s="4"/>
      <c r="G96" s="4"/>
      <c r="H96" s="5"/>
      <c r="I96" s="5"/>
      <c r="J96" s="4"/>
      <c r="K96" s="4"/>
      <c r="L96" s="40"/>
      <c r="M96" s="4"/>
      <c r="N96" s="3"/>
      <c r="O96" s="4"/>
      <c r="P96" s="4"/>
      <c r="Q96" s="4"/>
    </row>
    <row r="97" ht="15.75" customHeight="1">
      <c r="A97" s="4"/>
      <c r="B97" s="3"/>
      <c r="C97" s="3"/>
      <c r="D97" s="4"/>
      <c r="E97" s="4"/>
      <c r="F97" s="4"/>
      <c r="G97" s="4"/>
      <c r="H97" s="5"/>
      <c r="I97" s="5"/>
      <c r="J97" s="4"/>
      <c r="K97" s="4"/>
      <c r="L97" s="40"/>
      <c r="M97" s="4"/>
      <c r="N97" s="3"/>
      <c r="O97" s="4"/>
      <c r="P97" s="4"/>
      <c r="Q97" s="4"/>
    </row>
    <row r="98" ht="15.75" customHeight="1">
      <c r="A98" s="4"/>
      <c r="B98" s="3"/>
      <c r="C98" s="3"/>
      <c r="D98" s="4"/>
      <c r="E98" s="4"/>
      <c r="F98" s="4"/>
      <c r="G98" s="4"/>
      <c r="H98" s="5"/>
      <c r="I98" s="5"/>
      <c r="J98" s="4"/>
      <c r="K98" s="4"/>
      <c r="L98" s="40"/>
      <c r="M98" s="4"/>
      <c r="N98" s="3"/>
      <c r="O98" s="4"/>
      <c r="P98" s="4"/>
      <c r="Q98" s="4"/>
    </row>
    <row r="99" ht="15.75" customHeight="1">
      <c r="A99" s="4"/>
      <c r="B99" s="3"/>
      <c r="C99" s="3"/>
      <c r="D99" s="4"/>
      <c r="E99" s="4"/>
      <c r="F99" s="4"/>
      <c r="G99" s="4"/>
      <c r="H99" s="5"/>
      <c r="I99" s="5"/>
      <c r="J99" s="4"/>
      <c r="K99" s="4"/>
      <c r="L99" s="40"/>
      <c r="M99" s="4"/>
      <c r="N99" s="3"/>
      <c r="O99" s="4"/>
      <c r="P99" s="4"/>
      <c r="Q99" s="4"/>
    </row>
    <row r="100" ht="15.75" customHeight="1">
      <c r="A100" s="4"/>
      <c r="B100" s="3"/>
      <c r="C100" s="3"/>
      <c r="D100" s="4"/>
      <c r="E100" s="4"/>
      <c r="F100" s="4"/>
      <c r="G100" s="4"/>
      <c r="H100" s="5"/>
      <c r="I100" s="5"/>
      <c r="J100" s="4"/>
      <c r="K100" s="4"/>
      <c r="L100" s="40"/>
      <c r="M100" s="4"/>
      <c r="N100" s="3"/>
      <c r="O100" s="4"/>
      <c r="P100" s="4"/>
      <c r="Q100" s="4"/>
    </row>
    <row r="101" ht="15.75" customHeight="1">
      <c r="A101" s="4"/>
      <c r="B101" s="3"/>
      <c r="C101" s="3"/>
      <c r="D101" s="4"/>
      <c r="E101" s="4"/>
      <c r="F101" s="4"/>
      <c r="G101" s="4"/>
      <c r="H101" s="5"/>
      <c r="I101" s="5"/>
      <c r="J101" s="4"/>
      <c r="K101" s="4"/>
      <c r="L101" s="40"/>
      <c r="M101" s="4"/>
      <c r="N101" s="3"/>
      <c r="O101" s="4"/>
      <c r="P101" s="4"/>
      <c r="Q101" s="4"/>
    </row>
    <row r="102" ht="15.75" customHeight="1">
      <c r="A102" s="4"/>
      <c r="B102" s="3"/>
      <c r="C102" s="3"/>
      <c r="D102" s="4"/>
      <c r="E102" s="4"/>
      <c r="F102" s="4"/>
      <c r="G102" s="4"/>
      <c r="H102" s="5"/>
      <c r="I102" s="5"/>
      <c r="J102" s="4"/>
      <c r="K102" s="4"/>
      <c r="L102" s="40"/>
      <c r="M102" s="4"/>
      <c r="N102" s="3"/>
      <c r="O102" s="4"/>
      <c r="P102" s="4"/>
      <c r="Q102" s="4"/>
    </row>
    <row r="103" ht="15.75" customHeight="1">
      <c r="A103" s="4"/>
      <c r="B103" s="3"/>
      <c r="C103" s="3"/>
      <c r="D103" s="4"/>
      <c r="E103" s="4"/>
      <c r="F103" s="4"/>
      <c r="G103" s="4"/>
      <c r="H103" s="5"/>
      <c r="I103" s="5"/>
      <c r="J103" s="4"/>
      <c r="K103" s="4"/>
      <c r="L103" s="40"/>
      <c r="M103" s="4"/>
      <c r="N103" s="3"/>
      <c r="O103" s="4"/>
      <c r="P103" s="4"/>
      <c r="Q103" s="4"/>
    </row>
    <row r="104" ht="15.75" customHeight="1">
      <c r="A104" s="4"/>
      <c r="B104" s="3"/>
      <c r="C104" s="3"/>
      <c r="D104" s="4"/>
      <c r="E104" s="4"/>
      <c r="F104" s="4"/>
      <c r="G104" s="4"/>
      <c r="H104" s="5"/>
      <c r="I104" s="5"/>
      <c r="J104" s="4"/>
      <c r="K104" s="4"/>
      <c r="L104" s="40"/>
      <c r="M104" s="4"/>
      <c r="N104" s="3"/>
      <c r="O104" s="4"/>
      <c r="P104" s="4"/>
      <c r="Q104" s="4"/>
    </row>
    <row r="105" ht="15.75" customHeight="1">
      <c r="A105" s="4"/>
      <c r="B105" s="3"/>
      <c r="C105" s="3"/>
      <c r="D105" s="4"/>
      <c r="E105" s="4"/>
      <c r="F105" s="4"/>
      <c r="G105" s="4"/>
      <c r="H105" s="5"/>
      <c r="I105" s="5"/>
      <c r="J105" s="4"/>
      <c r="K105" s="4"/>
      <c r="L105" s="40"/>
      <c r="M105" s="4"/>
      <c r="N105" s="3"/>
      <c r="O105" s="4"/>
      <c r="P105" s="4"/>
      <c r="Q105" s="4"/>
    </row>
    <row r="106" ht="15.75" customHeight="1">
      <c r="A106" s="4"/>
      <c r="B106" s="3"/>
      <c r="C106" s="3"/>
      <c r="D106" s="4"/>
      <c r="E106" s="4"/>
      <c r="F106" s="4"/>
      <c r="G106" s="4"/>
      <c r="H106" s="5"/>
      <c r="I106" s="5"/>
      <c r="J106" s="4"/>
      <c r="K106" s="4"/>
      <c r="L106" s="40"/>
      <c r="M106" s="4"/>
      <c r="N106" s="3"/>
      <c r="O106" s="4"/>
      <c r="P106" s="4"/>
      <c r="Q106" s="4"/>
    </row>
    <row r="107" ht="15.75" customHeight="1">
      <c r="A107" s="4"/>
      <c r="B107" s="3"/>
      <c r="C107" s="3"/>
      <c r="D107" s="4"/>
      <c r="E107" s="4"/>
      <c r="F107" s="4"/>
      <c r="G107" s="4"/>
      <c r="H107" s="5"/>
      <c r="I107" s="5"/>
      <c r="J107" s="4"/>
      <c r="K107" s="4"/>
      <c r="L107" s="40"/>
      <c r="M107" s="4"/>
      <c r="N107" s="3"/>
      <c r="O107" s="4"/>
      <c r="P107" s="4"/>
      <c r="Q107" s="4"/>
    </row>
    <row r="108" ht="15.75" customHeight="1">
      <c r="A108" s="4"/>
      <c r="B108" s="3"/>
      <c r="C108" s="3"/>
      <c r="D108" s="4"/>
      <c r="E108" s="4"/>
      <c r="F108" s="4"/>
      <c r="G108" s="4"/>
      <c r="H108" s="5"/>
      <c r="I108" s="5"/>
      <c r="J108" s="4"/>
      <c r="K108" s="4"/>
      <c r="L108" s="40"/>
      <c r="M108" s="4"/>
      <c r="N108" s="3"/>
      <c r="O108" s="4"/>
      <c r="P108" s="4"/>
      <c r="Q108" s="4"/>
    </row>
    <row r="109" ht="15.75" customHeight="1">
      <c r="A109" s="4"/>
      <c r="B109" s="3"/>
      <c r="C109" s="3"/>
      <c r="D109" s="4"/>
      <c r="E109" s="4"/>
      <c r="F109" s="4"/>
      <c r="G109" s="4"/>
      <c r="H109" s="5"/>
      <c r="I109" s="5"/>
      <c r="J109" s="4"/>
      <c r="K109" s="4"/>
      <c r="L109" s="40"/>
      <c r="M109" s="4"/>
      <c r="N109" s="3"/>
      <c r="O109" s="4"/>
      <c r="P109" s="4"/>
      <c r="Q109" s="4"/>
    </row>
    <row r="110" ht="15.75" customHeight="1">
      <c r="A110" s="4"/>
      <c r="B110" s="3"/>
      <c r="C110" s="3"/>
      <c r="D110" s="4"/>
      <c r="E110" s="4"/>
      <c r="F110" s="4"/>
      <c r="G110" s="4"/>
      <c r="H110" s="5"/>
      <c r="I110" s="5"/>
      <c r="J110" s="4"/>
      <c r="K110" s="4"/>
      <c r="L110" s="40"/>
      <c r="M110" s="4"/>
      <c r="N110" s="3"/>
      <c r="O110" s="4"/>
      <c r="P110" s="4"/>
      <c r="Q110" s="4"/>
    </row>
    <row r="111" ht="15.75" customHeight="1">
      <c r="A111" s="4"/>
      <c r="B111" s="3"/>
      <c r="C111" s="3"/>
      <c r="D111" s="4"/>
      <c r="E111" s="4"/>
      <c r="F111" s="4"/>
      <c r="G111" s="4"/>
      <c r="H111" s="5"/>
      <c r="I111" s="5"/>
      <c r="J111" s="4"/>
      <c r="K111" s="4"/>
      <c r="L111" s="40"/>
      <c r="M111" s="4"/>
      <c r="N111" s="3"/>
      <c r="O111" s="4"/>
      <c r="P111" s="4"/>
      <c r="Q111" s="4"/>
    </row>
    <row r="112" ht="15.75" customHeight="1">
      <c r="A112" s="4"/>
      <c r="B112" s="3"/>
      <c r="C112" s="3"/>
      <c r="D112" s="4"/>
      <c r="E112" s="4"/>
      <c r="F112" s="4"/>
      <c r="G112" s="4"/>
      <c r="H112" s="5"/>
      <c r="I112" s="5"/>
      <c r="J112" s="4"/>
      <c r="K112" s="4"/>
      <c r="L112" s="40"/>
      <c r="M112" s="4"/>
      <c r="N112" s="3"/>
      <c r="O112" s="4"/>
      <c r="P112" s="4"/>
      <c r="Q112" s="4"/>
    </row>
    <row r="113" ht="15.75" customHeight="1">
      <c r="A113" s="4"/>
      <c r="B113" s="3"/>
      <c r="C113" s="3"/>
      <c r="D113" s="4"/>
      <c r="E113" s="4"/>
      <c r="F113" s="4"/>
      <c r="G113" s="4"/>
      <c r="H113" s="5"/>
      <c r="I113" s="5"/>
      <c r="J113" s="4"/>
      <c r="K113" s="4"/>
      <c r="L113" s="40"/>
      <c r="M113" s="4"/>
      <c r="N113" s="3"/>
      <c r="O113" s="4"/>
      <c r="P113" s="4"/>
      <c r="Q113" s="4"/>
    </row>
    <row r="114" ht="15.75" customHeight="1">
      <c r="A114" s="4"/>
      <c r="B114" s="3"/>
      <c r="C114" s="3"/>
      <c r="D114" s="4"/>
      <c r="E114" s="4"/>
      <c r="F114" s="4"/>
      <c r="G114" s="4"/>
      <c r="H114" s="5"/>
      <c r="I114" s="5"/>
      <c r="J114" s="4"/>
      <c r="K114" s="4"/>
      <c r="L114" s="40"/>
      <c r="M114" s="4"/>
      <c r="N114" s="3"/>
      <c r="O114" s="4"/>
      <c r="P114" s="4"/>
      <c r="Q114" s="4"/>
    </row>
    <row r="115" ht="15.75" customHeight="1">
      <c r="A115" s="4"/>
      <c r="B115" s="3"/>
      <c r="C115" s="3"/>
      <c r="D115" s="4"/>
      <c r="E115" s="4"/>
      <c r="F115" s="4"/>
      <c r="G115" s="4"/>
      <c r="H115" s="5"/>
      <c r="I115" s="5"/>
      <c r="J115" s="4"/>
      <c r="K115" s="4"/>
      <c r="L115" s="40"/>
      <c r="M115" s="4"/>
      <c r="N115" s="3"/>
      <c r="O115" s="4"/>
      <c r="P115" s="4"/>
      <c r="Q115" s="4"/>
    </row>
    <row r="116" ht="15.75" customHeight="1">
      <c r="A116" s="4"/>
      <c r="B116" s="3"/>
      <c r="C116" s="3"/>
      <c r="D116" s="4"/>
      <c r="E116" s="4"/>
      <c r="F116" s="4"/>
      <c r="G116" s="4"/>
      <c r="H116" s="5"/>
      <c r="I116" s="5"/>
      <c r="J116" s="4"/>
      <c r="K116" s="4"/>
      <c r="L116" s="40"/>
      <c r="M116" s="4"/>
      <c r="N116" s="3"/>
      <c r="O116" s="4"/>
      <c r="P116" s="4"/>
      <c r="Q116" s="4"/>
    </row>
    <row r="117" ht="15.75" customHeight="1">
      <c r="A117" s="4"/>
      <c r="B117" s="3"/>
      <c r="C117" s="3"/>
      <c r="D117" s="4"/>
      <c r="E117" s="4"/>
      <c r="F117" s="4"/>
      <c r="G117" s="4"/>
      <c r="H117" s="5"/>
      <c r="I117" s="5"/>
      <c r="J117" s="4"/>
      <c r="K117" s="4"/>
      <c r="L117" s="40"/>
      <c r="M117" s="4"/>
      <c r="N117" s="3"/>
      <c r="O117" s="4"/>
      <c r="P117" s="4"/>
      <c r="Q117" s="4"/>
    </row>
    <row r="118" ht="15.75" customHeight="1">
      <c r="A118" s="4"/>
      <c r="B118" s="3"/>
      <c r="C118" s="3"/>
      <c r="D118" s="4"/>
      <c r="E118" s="4"/>
      <c r="F118" s="4"/>
      <c r="G118" s="4"/>
      <c r="H118" s="5"/>
      <c r="I118" s="5"/>
      <c r="J118" s="4"/>
      <c r="K118" s="4"/>
      <c r="L118" s="40"/>
      <c r="M118" s="4"/>
      <c r="N118" s="3"/>
      <c r="O118" s="4"/>
      <c r="P118" s="4"/>
      <c r="Q118" s="4"/>
    </row>
    <row r="119" ht="15.75" customHeight="1">
      <c r="A119" s="4"/>
      <c r="B119" s="3"/>
      <c r="C119" s="3"/>
      <c r="D119" s="4"/>
      <c r="E119" s="4"/>
      <c r="F119" s="4"/>
      <c r="G119" s="4"/>
      <c r="H119" s="5"/>
      <c r="I119" s="5"/>
      <c r="J119" s="4"/>
      <c r="K119" s="4"/>
      <c r="L119" s="40"/>
      <c r="M119" s="4"/>
      <c r="N119" s="3"/>
      <c r="O119" s="4"/>
      <c r="P119" s="4"/>
      <c r="Q119" s="4"/>
    </row>
    <row r="120" ht="15.75" customHeight="1">
      <c r="A120" s="4"/>
      <c r="B120" s="3"/>
      <c r="C120" s="3"/>
      <c r="D120" s="4"/>
      <c r="E120" s="4"/>
      <c r="F120" s="4"/>
      <c r="G120" s="4"/>
      <c r="H120" s="5"/>
      <c r="I120" s="5"/>
      <c r="J120" s="4"/>
      <c r="K120" s="4"/>
      <c r="L120" s="40"/>
      <c r="M120" s="4"/>
      <c r="N120" s="3"/>
      <c r="O120" s="4"/>
      <c r="P120" s="4"/>
      <c r="Q120" s="4"/>
    </row>
    <row r="121" ht="15.75" customHeight="1">
      <c r="A121" s="4"/>
      <c r="B121" s="3"/>
      <c r="C121" s="3"/>
      <c r="D121" s="4"/>
      <c r="E121" s="4"/>
      <c r="F121" s="4"/>
      <c r="G121" s="4"/>
      <c r="H121" s="5"/>
      <c r="I121" s="5"/>
      <c r="J121" s="4"/>
      <c r="K121" s="4"/>
      <c r="L121" s="40"/>
      <c r="M121" s="4"/>
      <c r="N121" s="3"/>
      <c r="O121" s="4"/>
      <c r="P121" s="4"/>
      <c r="Q121" s="4"/>
    </row>
    <row r="122" ht="15.75" customHeight="1">
      <c r="A122" s="4"/>
      <c r="B122" s="3"/>
      <c r="C122" s="3"/>
      <c r="D122" s="4"/>
      <c r="E122" s="4"/>
      <c r="F122" s="4"/>
      <c r="G122" s="4"/>
      <c r="H122" s="5"/>
      <c r="I122" s="5"/>
      <c r="J122" s="4"/>
      <c r="K122" s="4"/>
      <c r="L122" s="40"/>
      <c r="M122" s="4"/>
      <c r="N122" s="3"/>
      <c r="O122" s="4"/>
      <c r="P122" s="4"/>
      <c r="Q122" s="4"/>
    </row>
    <row r="123" ht="15.75" customHeight="1">
      <c r="A123" s="4"/>
      <c r="B123" s="3"/>
      <c r="C123" s="3"/>
      <c r="D123" s="4"/>
      <c r="E123" s="4"/>
      <c r="F123" s="4"/>
      <c r="G123" s="4"/>
      <c r="H123" s="5"/>
      <c r="I123" s="5"/>
      <c r="J123" s="4"/>
      <c r="K123" s="4"/>
      <c r="L123" s="40"/>
      <c r="M123" s="4"/>
      <c r="N123" s="3"/>
      <c r="O123" s="4"/>
      <c r="P123" s="4"/>
      <c r="Q123" s="4"/>
    </row>
    <row r="124" ht="15.75" customHeight="1">
      <c r="A124" s="4"/>
      <c r="B124" s="3"/>
      <c r="C124" s="3"/>
      <c r="D124" s="4"/>
      <c r="E124" s="4"/>
      <c r="F124" s="4"/>
      <c r="G124" s="4"/>
      <c r="H124" s="5"/>
      <c r="I124" s="5"/>
      <c r="J124" s="4"/>
      <c r="K124" s="4"/>
      <c r="L124" s="40"/>
      <c r="M124" s="4"/>
      <c r="N124" s="3"/>
      <c r="O124" s="4"/>
      <c r="P124" s="4"/>
      <c r="Q124" s="4"/>
    </row>
    <row r="125" ht="15.75" customHeight="1">
      <c r="A125" s="4"/>
      <c r="B125" s="3"/>
      <c r="C125" s="3"/>
      <c r="D125" s="4"/>
      <c r="E125" s="4"/>
      <c r="F125" s="4"/>
      <c r="G125" s="4"/>
      <c r="H125" s="5"/>
      <c r="I125" s="5"/>
      <c r="J125" s="4"/>
      <c r="K125" s="4"/>
      <c r="L125" s="40"/>
      <c r="M125" s="4"/>
      <c r="N125" s="3"/>
      <c r="O125" s="4"/>
      <c r="P125" s="4"/>
      <c r="Q125" s="4"/>
    </row>
    <row r="126" ht="15.75" customHeight="1">
      <c r="A126" s="4"/>
      <c r="B126" s="3"/>
      <c r="C126" s="3"/>
      <c r="D126" s="4"/>
      <c r="E126" s="4"/>
      <c r="F126" s="4"/>
      <c r="G126" s="4"/>
      <c r="H126" s="5"/>
      <c r="I126" s="5"/>
      <c r="J126" s="4"/>
      <c r="K126" s="4"/>
      <c r="L126" s="40"/>
      <c r="M126" s="4"/>
      <c r="N126" s="3"/>
      <c r="O126" s="4"/>
      <c r="P126" s="4"/>
      <c r="Q126" s="4"/>
    </row>
    <row r="127" ht="15.75" customHeight="1">
      <c r="A127" s="4"/>
      <c r="B127" s="3"/>
      <c r="C127" s="3"/>
      <c r="D127" s="4"/>
      <c r="E127" s="4"/>
      <c r="F127" s="4"/>
      <c r="G127" s="4"/>
      <c r="H127" s="5"/>
      <c r="I127" s="5"/>
      <c r="J127" s="4"/>
      <c r="K127" s="4"/>
      <c r="L127" s="40"/>
      <c r="M127" s="4"/>
      <c r="N127" s="3"/>
      <c r="O127" s="4"/>
      <c r="P127" s="4"/>
      <c r="Q127" s="4"/>
    </row>
    <row r="128" ht="15.75" customHeight="1">
      <c r="A128" s="4"/>
      <c r="B128" s="3"/>
      <c r="C128" s="3"/>
      <c r="D128" s="4"/>
      <c r="E128" s="4"/>
      <c r="F128" s="4"/>
      <c r="G128" s="4"/>
      <c r="H128" s="5"/>
      <c r="I128" s="5"/>
      <c r="J128" s="4"/>
      <c r="K128" s="4"/>
      <c r="L128" s="40"/>
      <c r="M128" s="4"/>
      <c r="N128" s="3"/>
      <c r="O128" s="4"/>
      <c r="P128" s="4"/>
      <c r="Q128" s="4"/>
    </row>
    <row r="129" ht="15.75" customHeight="1">
      <c r="A129" s="4"/>
      <c r="B129" s="3"/>
      <c r="C129" s="3"/>
      <c r="D129" s="4"/>
      <c r="E129" s="4"/>
      <c r="F129" s="4"/>
      <c r="G129" s="4"/>
      <c r="H129" s="5"/>
      <c r="I129" s="5"/>
      <c r="J129" s="4"/>
      <c r="K129" s="4"/>
      <c r="L129" s="40"/>
      <c r="M129" s="4"/>
      <c r="N129" s="3"/>
      <c r="O129" s="4"/>
      <c r="P129" s="4"/>
      <c r="Q129" s="4"/>
    </row>
    <row r="130" ht="15.75" customHeight="1">
      <c r="A130" s="4"/>
      <c r="B130" s="3"/>
      <c r="C130" s="3"/>
      <c r="D130" s="4"/>
      <c r="E130" s="4"/>
      <c r="F130" s="4"/>
      <c r="G130" s="4"/>
      <c r="H130" s="5"/>
      <c r="I130" s="5"/>
      <c r="J130" s="4"/>
      <c r="K130" s="4"/>
      <c r="L130" s="40"/>
      <c r="M130" s="4"/>
      <c r="N130" s="3"/>
      <c r="O130" s="4"/>
      <c r="P130" s="4"/>
      <c r="Q130" s="4"/>
    </row>
    <row r="131" ht="15.75" customHeight="1">
      <c r="A131" s="4"/>
      <c r="B131" s="3"/>
      <c r="C131" s="3"/>
      <c r="D131" s="4"/>
      <c r="E131" s="4"/>
      <c r="F131" s="4"/>
      <c r="G131" s="4"/>
      <c r="H131" s="5"/>
      <c r="I131" s="5"/>
      <c r="J131" s="4"/>
      <c r="K131" s="4"/>
      <c r="L131" s="40"/>
      <c r="M131" s="4"/>
      <c r="N131" s="3"/>
      <c r="O131" s="4"/>
      <c r="P131" s="4"/>
      <c r="Q131" s="4"/>
    </row>
    <row r="132" ht="15.75" customHeight="1">
      <c r="A132" s="4"/>
      <c r="B132" s="3"/>
      <c r="C132" s="3"/>
      <c r="D132" s="4"/>
      <c r="E132" s="4"/>
      <c r="F132" s="4"/>
      <c r="G132" s="4"/>
      <c r="H132" s="5"/>
      <c r="I132" s="5"/>
      <c r="J132" s="4"/>
      <c r="K132" s="4"/>
      <c r="L132" s="40"/>
      <c r="M132" s="4"/>
      <c r="N132" s="3"/>
      <c r="O132" s="4"/>
      <c r="P132" s="4"/>
      <c r="Q132" s="4"/>
    </row>
    <row r="133" ht="15.75" customHeight="1">
      <c r="A133" s="4"/>
      <c r="B133" s="3"/>
      <c r="C133" s="3"/>
      <c r="D133" s="4"/>
      <c r="E133" s="4"/>
      <c r="F133" s="4"/>
      <c r="G133" s="4"/>
      <c r="H133" s="5"/>
      <c r="I133" s="5"/>
      <c r="J133" s="4"/>
      <c r="K133" s="4"/>
      <c r="L133" s="40"/>
      <c r="M133" s="4"/>
      <c r="N133" s="3"/>
      <c r="O133" s="4"/>
      <c r="P133" s="4"/>
      <c r="Q133" s="4"/>
    </row>
    <row r="134" ht="15.75" customHeight="1">
      <c r="A134" s="4"/>
      <c r="B134" s="3"/>
      <c r="C134" s="3"/>
      <c r="D134" s="4"/>
      <c r="E134" s="4"/>
      <c r="F134" s="4"/>
      <c r="G134" s="4"/>
      <c r="H134" s="5"/>
      <c r="I134" s="5"/>
      <c r="J134" s="4"/>
      <c r="K134" s="4"/>
      <c r="L134" s="40"/>
      <c r="M134" s="4"/>
      <c r="N134" s="3"/>
      <c r="O134" s="4"/>
      <c r="P134" s="4"/>
      <c r="Q134" s="4"/>
    </row>
    <row r="135" ht="15.75" customHeight="1">
      <c r="A135" s="4"/>
      <c r="B135" s="3"/>
      <c r="C135" s="3"/>
      <c r="D135" s="4"/>
      <c r="E135" s="4"/>
      <c r="F135" s="4"/>
      <c r="G135" s="4"/>
      <c r="H135" s="5"/>
      <c r="I135" s="5"/>
      <c r="J135" s="4"/>
      <c r="K135" s="4"/>
      <c r="L135" s="40"/>
      <c r="M135" s="4"/>
      <c r="N135" s="3"/>
      <c r="O135" s="4"/>
      <c r="P135" s="4"/>
      <c r="Q135" s="4"/>
    </row>
    <row r="136" ht="15.75" customHeight="1">
      <c r="A136" s="4"/>
      <c r="B136" s="3"/>
      <c r="C136" s="3"/>
      <c r="D136" s="4"/>
      <c r="E136" s="4"/>
      <c r="F136" s="4"/>
      <c r="G136" s="4"/>
      <c r="H136" s="5"/>
      <c r="I136" s="5"/>
      <c r="J136" s="4"/>
      <c r="K136" s="4"/>
      <c r="L136" s="40"/>
      <c r="M136" s="4"/>
      <c r="N136" s="3"/>
      <c r="O136" s="4"/>
      <c r="P136" s="4"/>
      <c r="Q136" s="4"/>
    </row>
    <row r="137" ht="15.75" customHeight="1">
      <c r="A137" s="4"/>
      <c r="B137" s="3"/>
      <c r="C137" s="3"/>
      <c r="D137" s="4"/>
      <c r="E137" s="4"/>
      <c r="F137" s="4"/>
      <c r="G137" s="4"/>
      <c r="H137" s="5"/>
      <c r="I137" s="5"/>
      <c r="J137" s="4"/>
      <c r="K137" s="4"/>
      <c r="L137" s="40"/>
      <c r="M137" s="4"/>
      <c r="N137" s="3"/>
      <c r="O137" s="4"/>
      <c r="P137" s="4"/>
      <c r="Q137" s="4"/>
    </row>
    <row r="138" ht="15.75" customHeight="1">
      <c r="A138" s="4"/>
      <c r="B138" s="3"/>
      <c r="C138" s="3"/>
      <c r="D138" s="4"/>
      <c r="E138" s="4"/>
      <c r="F138" s="4"/>
      <c r="G138" s="4"/>
      <c r="H138" s="5"/>
      <c r="I138" s="5"/>
      <c r="J138" s="4"/>
      <c r="K138" s="4"/>
      <c r="L138" s="40"/>
      <c r="M138" s="4"/>
      <c r="N138" s="3"/>
      <c r="O138" s="4"/>
      <c r="P138" s="4"/>
      <c r="Q138" s="4"/>
    </row>
    <row r="139" ht="15.75" customHeight="1">
      <c r="A139" s="4"/>
      <c r="B139" s="3"/>
      <c r="C139" s="3"/>
      <c r="D139" s="4"/>
      <c r="E139" s="4"/>
      <c r="F139" s="4"/>
      <c r="G139" s="4"/>
      <c r="H139" s="5"/>
      <c r="I139" s="5"/>
      <c r="J139" s="4"/>
      <c r="K139" s="4"/>
      <c r="L139" s="40"/>
      <c r="M139" s="4"/>
      <c r="N139" s="3"/>
      <c r="O139" s="4"/>
      <c r="P139" s="4"/>
      <c r="Q139" s="4"/>
    </row>
    <row r="140" ht="15.75" customHeight="1">
      <c r="A140" s="4"/>
      <c r="B140" s="3"/>
      <c r="C140" s="3"/>
      <c r="D140" s="4"/>
      <c r="E140" s="4"/>
      <c r="F140" s="4"/>
      <c r="G140" s="4"/>
      <c r="H140" s="5"/>
      <c r="I140" s="5"/>
      <c r="J140" s="4"/>
      <c r="K140" s="4"/>
      <c r="L140" s="40"/>
      <c r="M140" s="4"/>
      <c r="N140" s="3"/>
      <c r="O140" s="4"/>
      <c r="P140" s="4"/>
      <c r="Q140" s="4"/>
    </row>
    <row r="141" ht="15.75" customHeight="1">
      <c r="A141" s="4"/>
      <c r="B141" s="3"/>
      <c r="C141" s="3"/>
      <c r="D141" s="4"/>
      <c r="E141" s="4"/>
      <c r="F141" s="4"/>
      <c r="G141" s="4"/>
      <c r="H141" s="5"/>
      <c r="I141" s="5"/>
      <c r="J141" s="4"/>
      <c r="K141" s="4"/>
      <c r="L141" s="40"/>
      <c r="M141" s="4"/>
      <c r="N141" s="3"/>
      <c r="O141" s="4"/>
      <c r="P141" s="4"/>
      <c r="Q141" s="4"/>
    </row>
    <row r="142" ht="15.75" customHeight="1">
      <c r="A142" s="4"/>
      <c r="B142" s="3"/>
      <c r="C142" s="3"/>
      <c r="D142" s="4"/>
      <c r="E142" s="4"/>
      <c r="F142" s="4"/>
      <c r="G142" s="4"/>
      <c r="H142" s="5"/>
      <c r="I142" s="5"/>
      <c r="J142" s="4"/>
      <c r="K142" s="4"/>
      <c r="L142" s="40"/>
      <c r="M142" s="4"/>
      <c r="N142" s="3"/>
      <c r="O142" s="4"/>
      <c r="P142" s="4"/>
      <c r="Q142" s="4"/>
    </row>
    <row r="143" ht="15.75" customHeight="1">
      <c r="A143" s="4"/>
      <c r="B143" s="3"/>
      <c r="C143" s="3"/>
      <c r="D143" s="4"/>
      <c r="E143" s="4"/>
      <c r="F143" s="4"/>
      <c r="G143" s="4"/>
      <c r="H143" s="5"/>
      <c r="I143" s="5"/>
      <c r="J143" s="4"/>
      <c r="K143" s="4"/>
      <c r="L143" s="40"/>
      <c r="M143" s="4"/>
      <c r="N143" s="3"/>
      <c r="O143" s="4"/>
      <c r="P143" s="4"/>
      <c r="Q143" s="4"/>
    </row>
    <row r="144" ht="15.75" customHeight="1">
      <c r="A144" s="4"/>
      <c r="B144" s="3"/>
      <c r="C144" s="3"/>
      <c r="D144" s="4"/>
      <c r="E144" s="4"/>
      <c r="F144" s="4"/>
      <c r="G144" s="4"/>
      <c r="H144" s="5"/>
      <c r="I144" s="5"/>
      <c r="J144" s="4"/>
      <c r="K144" s="4"/>
      <c r="L144" s="40"/>
      <c r="M144" s="4"/>
      <c r="N144" s="3"/>
      <c r="O144" s="4"/>
      <c r="P144" s="4"/>
      <c r="Q144" s="4"/>
    </row>
    <row r="145" ht="15.75" customHeight="1">
      <c r="A145" s="4"/>
      <c r="B145" s="3"/>
      <c r="C145" s="3"/>
      <c r="D145" s="4"/>
      <c r="E145" s="4"/>
      <c r="F145" s="4"/>
      <c r="G145" s="4"/>
      <c r="H145" s="5"/>
      <c r="I145" s="5"/>
      <c r="J145" s="4"/>
      <c r="K145" s="4"/>
      <c r="L145" s="40"/>
      <c r="M145" s="4"/>
      <c r="N145" s="3"/>
      <c r="O145" s="4"/>
      <c r="P145" s="4"/>
      <c r="Q145" s="4"/>
    </row>
    <row r="146" ht="15.75" customHeight="1">
      <c r="A146" s="4"/>
      <c r="B146" s="3"/>
      <c r="C146" s="3"/>
      <c r="D146" s="4"/>
      <c r="E146" s="4"/>
      <c r="F146" s="4"/>
      <c r="G146" s="4"/>
      <c r="H146" s="5"/>
      <c r="I146" s="5"/>
      <c r="J146" s="4"/>
      <c r="K146" s="4"/>
      <c r="L146" s="40"/>
      <c r="M146" s="4"/>
      <c r="N146" s="3"/>
      <c r="O146" s="4"/>
      <c r="P146" s="4"/>
      <c r="Q146" s="4"/>
    </row>
    <row r="147" ht="15.75" customHeight="1">
      <c r="A147" s="4"/>
      <c r="B147" s="3"/>
      <c r="C147" s="3"/>
      <c r="D147" s="4"/>
      <c r="E147" s="4"/>
      <c r="F147" s="4"/>
      <c r="G147" s="4"/>
      <c r="H147" s="5"/>
      <c r="I147" s="5"/>
      <c r="J147" s="4"/>
      <c r="K147" s="4"/>
      <c r="L147" s="40"/>
      <c r="M147" s="4"/>
      <c r="N147" s="3"/>
      <c r="O147" s="4"/>
      <c r="P147" s="4"/>
      <c r="Q147" s="4"/>
    </row>
    <row r="148" ht="15.75" customHeight="1">
      <c r="A148" s="4"/>
      <c r="B148" s="3"/>
      <c r="C148" s="3"/>
      <c r="D148" s="4"/>
      <c r="E148" s="4"/>
      <c r="F148" s="4"/>
      <c r="G148" s="4"/>
      <c r="H148" s="5"/>
      <c r="I148" s="5"/>
      <c r="J148" s="4"/>
      <c r="K148" s="4"/>
      <c r="L148" s="40"/>
      <c r="M148" s="4"/>
      <c r="N148" s="3"/>
      <c r="O148" s="4"/>
      <c r="P148" s="4"/>
      <c r="Q148" s="4"/>
    </row>
    <row r="149" ht="15.75" customHeight="1">
      <c r="A149" s="4"/>
      <c r="B149" s="3"/>
      <c r="C149" s="3"/>
      <c r="D149" s="4"/>
      <c r="E149" s="4"/>
      <c r="F149" s="4"/>
      <c r="G149" s="4"/>
      <c r="H149" s="5"/>
      <c r="I149" s="5"/>
      <c r="J149" s="4"/>
      <c r="K149" s="4"/>
      <c r="L149" s="40"/>
      <c r="M149" s="4"/>
      <c r="N149" s="3"/>
      <c r="O149" s="4"/>
      <c r="P149" s="4"/>
      <c r="Q149" s="4"/>
    </row>
    <row r="150" ht="15.75" customHeight="1">
      <c r="A150" s="4"/>
      <c r="B150" s="3"/>
      <c r="C150" s="3"/>
      <c r="D150" s="4"/>
      <c r="E150" s="4"/>
      <c r="F150" s="4"/>
      <c r="G150" s="4"/>
      <c r="H150" s="5"/>
      <c r="I150" s="5"/>
      <c r="J150" s="4"/>
      <c r="K150" s="4"/>
      <c r="L150" s="40"/>
      <c r="M150" s="4"/>
      <c r="N150" s="3"/>
      <c r="O150" s="4"/>
      <c r="P150" s="4"/>
      <c r="Q150" s="4"/>
    </row>
    <row r="151" ht="15.75" customHeight="1">
      <c r="A151" s="4"/>
      <c r="B151" s="3"/>
      <c r="C151" s="3"/>
      <c r="D151" s="4"/>
      <c r="E151" s="4"/>
      <c r="F151" s="4"/>
      <c r="G151" s="4"/>
      <c r="H151" s="5"/>
      <c r="I151" s="5"/>
      <c r="J151" s="4"/>
      <c r="K151" s="4"/>
      <c r="L151" s="40"/>
      <c r="M151" s="4"/>
      <c r="N151" s="3"/>
      <c r="O151" s="4"/>
      <c r="P151" s="4"/>
      <c r="Q151" s="4"/>
    </row>
    <row r="152" ht="15.75" customHeight="1">
      <c r="A152" s="4"/>
      <c r="B152" s="3"/>
      <c r="C152" s="3"/>
      <c r="D152" s="4"/>
      <c r="E152" s="4"/>
      <c r="F152" s="4"/>
      <c r="G152" s="4"/>
      <c r="H152" s="5"/>
      <c r="I152" s="5"/>
      <c r="J152" s="4"/>
      <c r="K152" s="4"/>
      <c r="L152" s="40"/>
      <c r="M152" s="4"/>
      <c r="N152" s="3"/>
      <c r="O152" s="4"/>
      <c r="P152" s="4"/>
      <c r="Q152" s="4"/>
    </row>
    <row r="153" ht="15.75" customHeight="1">
      <c r="A153" s="4"/>
      <c r="B153" s="3"/>
      <c r="C153" s="3"/>
      <c r="D153" s="4"/>
      <c r="E153" s="4"/>
      <c r="F153" s="4"/>
      <c r="G153" s="4"/>
      <c r="H153" s="5"/>
      <c r="I153" s="5"/>
      <c r="J153" s="4"/>
      <c r="K153" s="4"/>
      <c r="L153" s="40"/>
      <c r="M153" s="4"/>
      <c r="N153" s="3"/>
      <c r="O153" s="4"/>
      <c r="P153" s="4"/>
      <c r="Q153" s="4"/>
    </row>
    <row r="154" ht="15.75" customHeight="1">
      <c r="A154" s="4"/>
      <c r="B154" s="3"/>
      <c r="C154" s="3"/>
      <c r="D154" s="4"/>
      <c r="E154" s="4"/>
      <c r="F154" s="4"/>
      <c r="G154" s="4"/>
      <c r="H154" s="5"/>
      <c r="I154" s="5"/>
      <c r="J154" s="4"/>
      <c r="K154" s="4"/>
      <c r="L154" s="40"/>
      <c r="M154" s="4"/>
      <c r="N154" s="3"/>
      <c r="O154" s="4"/>
      <c r="P154" s="4"/>
      <c r="Q154" s="4"/>
    </row>
    <row r="155" ht="15.75" customHeight="1">
      <c r="A155" s="4"/>
      <c r="B155" s="3"/>
      <c r="C155" s="3"/>
      <c r="D155" s="4"/>
      <c r="E155" s="4"/>
      <c r="F155" s="4"/>
      <c r="G155" s="4"/>
      <c r="H155" s="5"/>
      <c r="I155" s="5"/>
      <c r="J155" s="4"/>
      <c r="K155" s="4"/>
      <c r="L155" s="40"/>
      <c r="M155" s="4"/>
      <c r="N155" s="3"/>
      <c r="O155" s="4"/>
      <c r="P155" s="4"/>
      <c r="Q155" s="4"/>
    </row>
    <row r="156" ht="15.75" customHeight="1">
      <c r="A156" s="4"/>
      <c r="B156" s="3"/>
      <c r="C156" s="3"/>
      <c r="D156" s="4"/>
      <c r="E156" s="4"/>
      <c r="F156" s="4"/>
      <c r="G156" s="4"/>
      <c r="H156" s="5"/>
      <c r="I156" s="5"/>
      <c r="J156" s="4"/>
      <c r="K156" s="4"/>
      <c r="L156" s="40"/>
      <c r="M156" s="4"/>
      <c r="N156" s="3"/>
      <c r="O156" s="4"/>
      <c r="P156" s="4"/>
      <c r="Q156" s="4"/>
    </row>
    <row r="157" ht="15.75" customHeight="1">
      <c r="A157" s="4"/>
      <c r="B157" s="3"/>
      <c r="C157" s="3"/>
      <c r="D157" s="4"/>
      <c r="E157" s="4"/>
      <c r="F157" s="4"/>
      <c r="G157" s="4"/>
      <c r="H157" s="5"/>
      <c r="I157" s="5"/>
      <c r="J157" s="4"/>
      <c r="K157" s="4"/>
      <c r="L157" s="40"/>
      <c r="M157" s="4"/>
      <c r="N157" s="3"/>
      <c r="O157" s="4"/>
      <c r="P157" s="4"/>
      <c r="Q157" s="4"/>
    </row>
    <row r="158" ht="15.75" customHeight="1">
      <c r="A158" s="4"/>
      <c r="B158" s="3"/>
      <c r="C158" s="3"/>
      <c r="D158" s="4"/>
      <c r="E158" s="4"/>
      <c r="F158" s="4"/>
      <c r="G158" s="4"/>
      <c r="H158" s="5"/>
      <c r="I158" s="5"/>
      <c r="J158" s="4"/>
      <c r="K158" s="4"/>
      <c r="L158" s="40"/>
      <c r="M158" s="4"/>
      <c r="N158" s="3"/>
      <c r="O158" s="4"/>
      <c r="P158" s="4"/>
      <c r="Q158" s="4"/>
    </row>
    <row r="159" ht="15.75" customHeight="1">
      <c r="A159" s="4"/>
      <c r="B159" s="3"/>
      <c r="C159" s="3"/>
      <c r="D159" s="4"/>
      <c r="E159" s="4"/>
      <c r="F159" s="4"/>
      <c r="G159" s="4"/>
      <c r="H159" s="5"/>
      <c r="I159" s="5"/>
      <c r="J159" s="4"/>
      <c r="K159" s="4"/>
      <c r="L159" s="40"/>
      <c r="M159" s="4"/>
      <c r="N159" s="3"/>
      <c r="O159" s="4"/>
      <c r="P159" s="4"/>
      <c r="Q159" s="4"/>
    </row>
    <row r="160" ht="15.75" customHeight="1">
      <c r="A160" s="4"/>
      <c r="B160" s="3"/>
      <c r="C160" s="3"/>
      <c r="D160" s="4"/>
      <c r="E160" s="4"/>
      <c r="F160" s="4"/>
      <c r="G160" s="4"/>
      <c r="H160" s="5"/>
      <c r="I160" s="5"/>
      <c r="J160" s="4"/>
      <c r="K160" s="4"/>
      <c r="L160" s="40"/>
      <c r="M160" s="4"/>
      <c r="N160" s="3"/>
      <c r="O160" s="4"/>
      <c r="P160" s="4"/>
      <c r="Q160" s="4"/>
    </row>
    <row r="161" ht="15.75" customHeight="1">
      <c r="A161" s="4"/>
      <c r="B161" s="3"/>
      <c r="C161" s="3"/>
      <c r="D161" s="4"/>
      <c r="E161" s="4"/>
      <c r="F161" s="4"/>
      <c r="G161" s="4"/>
      <c r="H161" s="5"/>
      <c r="I161" s="5"/>
      <c r="J161" s="4"/>
      <c r="K161" s="4"/>
      <c r="L161" s="40"/>
      <c r="M161" s="4"/>
      <c r="N161" s="3"/>
      <c r="O161" s="4"/>
      <c r="P161" s="4"/>
      <c r="Q161" s="4"/>
    </row>
    <row r="162" ht="15.75" customHeight="1">
      <c r="A162" s="4"/>
      <c r="B162" s="3"/>
      <c r="C162" s="3"/>
      <c r="D162" s="4"/>
      <c r="E162" s="4"/>
      <c r="F162" s="4"/>
      <c r="G162" s="4"/>
      <c r="H162" s="5"/>
      <c r="I162" s="5"/>
      <c r="J162" s="4"/>
      <c r="K162" s="4"/>
      <c r="L162" s="40"/>
      <c r="M162" s="4"/>
      <c r="N162" s="3"/>
      <c r="O162" s="4"/>
      <c r="P162" s="4"/>
      <c r="Q162" s="4"/>
    </row>
    <row r="163" ht="15.75" customHeight="1">
      <c r="A163" s="4"/>
      <c r="B163" s="3"/>
      <c r="C163" s="3"/>
      <c r="D163" s="4"/>
      <c r="E163" s="4"/>
      <c r="F163" s="4"/>
      <c r="G163" s="4"/>
      <c r="H163" s="5"/>
      <c r="I163" s="5"/>
      <c r="J163" s="4"/>
      <c r="K163" s="4"/>
      <c r="L163" s="40"/>
      <c r="M163" s="4"/>
      <c r="N163" s="3"/>
      <c r="O163" s="4"/>
      <c r="P163" s="4"/>
      <c r="Q163" s="4"/>
    </row>
    <row r="164" ht="15.75" customHeight="1">
      <c r="A164" s="4"/>
      <c r="B164" s="3"/>
      <c r="C164" s="3"/>
      <c r="D164" s="4"/>
      <c r="E164" s="4"/>
      <c r="F164" s="4"/>
      <c r="G164" s="4"/>
      <c r="H164" s="5"/>
      <c r="I164" s="5"/>
      <c r="J164" s="4"/>
      <c r="K164" s="4"/>
      <c r="L164" s="40"/>
      <c r="M164" s="4"/>
      <c r="N164" s="3"/>
      <c r="O164" s="4"/>
      <c r="P164" s="4"/>
      <c r="Q164" s="4"/>
    </row>
    <row r="165" ht="15.75" customHeight="1">
      <c r="A165" s="4"/>
      <c r="B165" s="3"/>
      <c r="C165" s="3"/>
      <c r="D165" s="4"/>
      <c r="E165" s="4"/>
      <c r="F165" s="4"/>
      <c r="G165" s="4"/>
      <c r="H165" s="5"/>
      <c r="I165" s="5"/>
      <c r="J165" s="4"/>
      <c r="K165" s="4"/>
      <c r="L165" s="40"/>
      <c r="M165" s="4"/>
      <c r="N165" s="3"/>
      <c r="O165" s="4"/>
      <c r="P165" s="4"/>
      <c r="Q165" s="4"/>
    </row>
    <row r="166" ht="15.75" customHeight="1">
      <c r="A166" s="4"/>
      <c r="B166" s="3"/>
      <c r="C166" s="3"/>
      <c r="D166" s="4"/>
      <c r="E166" s="4"/>
      <c r="F166" s="4"/>
      <c r="G166" s="4"/>
      <c r="H166" s="5"/>
      <c r="I166" s="5"/>
      <c r="J166" s="4"/>
      <c r="K166" s="4"/>
      <c r="L166" s="40"/>
      <c r="M166" s="4"/>
      <c r="N166" s="3"/>
      <c r="O166" s="4"/>
      <c r="P166" s="4"/>
      <c r="Q166" s="4"/>
    </row>
    <row r="167" ht="15.75" customHeight="1">
      <c r="A167" s="4"/>
      <c r="B167" s="3"/>
      <c r="C167" s="3"/>
      <c r="D167" s="4"/>
      <c r="E167" s="4"/>
      <c r="F167" s="4"/>
      <c r="G167" s="4"/>
      <c r="H167" s="5"/>
      <c r="I167" s="5"/>
      <c r="J167" s="4"/>
      <c r="K167" s="4"/>
      <c r="L167" s="40"/>
      <c r="M167" s="4"/>
      <c r="N167" s="3"/>
      <c r="O167" s="4"/>
      <c r="P167" s="4"/>
      <c r="Q167" s="4"/>
    </row>
    <row r="168" ht="15.75" customHeight="1">
      <c r="A168" s="4"/>
      <c r="B168" s="3"/>
      <c r="C168" s="3"/>
      <c r="D168" s="4"/>
      <c r="E168" s="4"/>
      <c r="F168" s="4"/>
      <c r="G168" s="4"/>
      <c r="H168" s="5"/>
      <c r="I168" s="5"/>
      <c r="J168" s="4"/>
      <c r="K168" s="4"/>
      <c r="L168" s="40"/>
      <c r="M168" s="4"/>
      <c r="N168" s="3"/>
      <c r="O168" s="4"/>
      <c r="P168" s="4"/>
      <c r="Q168" s="4"/>
    </row>
    <row r="169" ht="15.75" customHeight="1">
      <c r="A169" s="4"/>
      <c r="B169" s="3"/>
      <c r="C169" s="3"/>
      <c r="D169" s="4"/>
      <c r="E169" s="4"/>
      <c r="F169" s="4"/>
      <c r="G169" s="4"/>
      <c r="H169" s="5"/>
      <c r="I169" s="5"/>
      <c r="J169" s="4"/>
      <c r="K169" s="4"/>
      <c r="L169" s="40"/>
      <c r="M169" s="4"/>
      <c r="N169" s="3"/>
      <c r="O169" s="4"/>
      <c r="P169" s="4"/>
      <c r="Q169" s="4"/>
    </row>
    <row r="170" ht="15.75" customHeight="1">
      <c r="A170" s="4"/>
      <c r="B170" s="3"/>
      <c r="C170" s="3"/>
      <c r="D170" s="4"/>
      <c r="E170" s="4"/>
      <c r="F170" s="4"/>
      <c r="G170" s="4"/>
      <c r="H170" s="5"/>
      <c r="I170" s="5"/>
      <c r="J170" s="4"/>
      <c r="K170" s="4"/>
      <c r="L170" s="40"/>
      <c r="M170" s="4"/>
      <c r="N170" s="3"/>
      <c r="O170" s="4"/>
      <c r="P170" s="4"/>
      <c r="Q170" s="4"/>
    </row>
    <row r="171" ht="15.75" customHeight="1">
      <c r="A171" s="4"/>
      <c r="B171" s="3"/>
      <c r="C171" s="3"/>
      <c r="D171" s="4"/>
      <c r="E171" s="4"/>
      <c r="F171" s="4"/>
      <c r="G171" s="4"/>
      <c r="H171" s="5"/>
      <c r="I171" s="5"/>
      <c r="J171" s="4"/>
      <c r="K171" s="4"/>
      <c r="L171" s="40"/>
      <c r="M171" s="4"/>
      <c r="N171" s="3"/>
      <c r="O171" s="4"/>
      <c r="P171" s="4"/>
      <c r="Q171" s="4"/>
    </row>
    <row r="172" ht="15.75" customHeight="1">
      <c r="A172" s="4"/>
      <c r="B172" s="3"/>
      <c r="C172" s="3"/>
      <c r="D172" s="4"/>
      <c r="E172" s="4"/>
      <c r="F172" s="4"/>
      <c r="G172" s="4"/>
      <c r="H172" s="5"/>
      <c r="I172" s="5"/>
      <c r="J172" s="4"/>
      <c r="K172" s="4"/>
      <c r="L172" s="40"/>
      <c r="M172" s="4"/>
      <c r="N172" s="3"/>
      <c r="O172" s="4"/>
      <c r="P172" s="4"/>
      <c r="Q172" s="4"/>
    </row>
    <row r="173" ht="15.75" customHeight="1">
      <c r="A173" s="4"/>
      <c r="B173" s="3"/>
      <c r="C173" s="3"/>
      <c r="D173" s="4"/>
      <c r="E173" s="4"/>
      <c r="F173" s="4"/>
      <c r="G173" s="4"/>
      <c r="H173" s="5"/>
      <c r="I173" s="5"/>
      <c r="J173" s="4"/>
      <c r="K173" s="4"/>
      <c r="L173" s="40"/>
      <c r="M173" s="4"/>
      <c r="N173" s="3"/>
      <c r="O173" s="4"/>
      <c r="P173" s="4"/>
      <c r="Q173" s="4"/>
    </row>
    <row r="174" ht="15.75" customHeight="1">
      <c r="A174" s="4"/>
      <c r="B174" s="3"/>
      <c r="C174" s="3"/>
      <c r="D174" s="4"/>
      <c r="E174" s="4"/>
      <c r="F174" s="4"/>
      <c r="G174" s="4"/>
      <c r="H174" s="5"/>
      <c r="I174" s="5"/>
      <c r="J174" s="4"/>
      <c r="K174" s="4"/>
      <c r="L174" s="40"/>
      <c r="M174" s="4"/>
      <c r="N174" s="3"/>
      <c r="O174" s="4"/>
      <c r="P174" s="4"/>
      <c r="Q174" s="4"/>
    </row>
    <row r="175" ht="15.75" customHeight="1">
      <c r="A175" s="4"/>
      <c r="B175" s="3"/>
      <c r="C175" s="3"/>
      <c r="D175" s="4"/>
      <c r="E175" s="4"/>
      <c r="F175" s="4"/>
      <c r="G175" s="4"/>
      <c r="H175" s="5"/>
      <c r="I175" s="5"/>
      <c r="J175" s="4"/>
      <c r="K175" s="4"/>
      <c r="L175" s="40"/>
      <c r="M175" s="4"/>
      <c r="N175" s="3"/>
      <c r="O175" s="4"/>
      <c r="P175" s="4"/>
      <c r="Q175" s="4"/>
    </row>
    <row r="176" ht="15.75" customHeight="1">
      <c r="A176" s="4"/>
      <c r="B176" s="3"/>
      <c r="C176" s="3"/>
      <c r="D176" s="4"/>
      <c r="E176" s="4"/>
      <c r="F176" s="4"/>
      <c r="G176" s="4"/>
      <c r="H176" s="5"/>
      <c r="I176" s="5"/>
      <c r="J176" s="4"/>
      <c r="K176" s="4"/>
      <c r="L176" s="40"/>
      <c r="M176" s="4"/>
      <c r="N176" s="3"/>
      <c r="O176" s="4"/>
      <c r="P176" s="4"/>
      <c r="Q176" s="4"/>
    </row>
    <row r="177" ht="15.75" customHeight="1">
      <c r="A177" s="4"/>
      <c r="B177" s="3"/>
      <c r="C177" s="3"/>
      <c r="D177" s="4"/>
      <c r="E177" s="4"/>
      <c r="F177" s="4"/>
      <c r="G177" s="4"/>
      <c r="H177" s="5"/>
      <c r="I177" s="5"/>
      <c r="J177" s="4"/>
      <c r="K177" s="4"/>
      <c r="L177" s="40"/>
      <c r="M177" s="4"/>
      <c r="N177" s="3"/>
      <c r="O177" s="4"/>
      <c r="P177" s="4"/>
      <c r="Q177" s="4"/>
    </row>
    <row r="178" ht="15.75" customHeight="1">
      <c r="A178" s="4"/>
      <c r="B178" s="3"/>
      <c r="C178" s="3"/>
      <c r="D178" s="4"/>
      <c r="E178" s="4"/>
      <c r="F178" s="4"/>
      <c r="G178" s="4"/>
      <c r="H178" s="5"/>
      <c r="I178" s="5"/>
      <c r="J178" s="4"/>
      <c r="K178" s="4"/>
      <c r="L178" s="40"/>
      <c r="M178" s="4"/>
      <c r="N178" s="3"/>
      <c r="O178" s="4"/>
      <c r="P178" s="4"/>
      <c r="Q178" s="4"/>
    </row>
    <row r="179" ht="15.75" customHeight="1">
      <c r="A179" s="4"/>
      <c r="B179" s="3"/>
      <c r="C179" s="3"/>
      <c r="D179" s="4"/>
      <c r="E179" s="4"/>
      <c r="F179" s="4"/>
      <c r="G179" s="4"/>
      <c r="H179" s="5"/>
      <c r="I179" s="5"/>
      <c r="J179" s="4"/>
      <c r="K179" s="4"/>
      <c r="L179" s="40"/>
      <c r="M179" s="4"/>
      <c r="N179" s="3"/>
      <c r="O179" s="4"/>
      <c r="P179" s="4"/>
      <c r="Q179" s="4"/>
    </row>
    <row r="180" ht="15.75" customHeight="1">
      <c r="A180" s="4"/>
      <c r="B180" s="3"/>
      <c r="C180" s="3"/>
      <c r="D180" s="4"/>
      <c r="E180" s="4"/>
      <c r="F180" s="4"/>
      <c r="G180" s="4"/>
      <c r="H180" s="5"/>
      <c r="I180" s="5"/>
      <c r="J180" s="4"/>
      <c r="K180" s="4"/>
      <c r="L180" s="40"/>
      <c r="M180" s="4"/>
      <c r="N180" s="3"/>
      <c r="O180" s="4"/>
      <c r="P180" s="4"/>
      <c r="Q180" s="4"/>
    </row>
    <row r="181" ht="15.75" customHeight="1">
      <c r="A181" s="4"/>
      <c r="B181" s="3"/>
      <c r="C181" s="3"/>
      <c r="D181" s="4"/>
      <c r="E181" s="4"/>
      <c r="F181" s="4"/>
      <c r="G181" s="4"/>
      <c r="H181" s="5"/>
      <c r="I181" s="5"/>
      <c r="J181" s="4"/>
      <c r="K181" s="4"/>
      <c r="L181" s="40"/>
      <c r="M181" s="4"/>
      <c r="N181" s="3"/>
      <c r="O181" s="4"/>
      <c r="P181" s="4"/>
      <c r="Q181" s="4"/>
    </row>
    <row r="182" ht="15.75" customHeight="1">
      <c r="A182" s="4"/>
      <c r="B182" s="3"/>
      <c r="C182" s="3"/>
      <c r="D182" s="4"/>
      <c r="E182" s="4"/>
      <c r="F182" s="4"/>
      <c r="G182" s="4"/>
      <c r="H182" s="5"/>
      <c r="I182" s="5"/>
      <c r="J182" s="4"/>
      <c r="K182" s="4"/>
      <c r="L182" s="40"/>
      <c r="M182" s="4"/>
      <c r="N182" s="3"/>
      <c r="O182" s="4"/>
      <c r="P182" s="4"/>
      <c r="Q182" s="4"/>
    </row>
    <row r="183" ht="15.75" customHeight="1">
      <c r="A183" s="4"/>
      <c r="B183" s="3"/>
      <c r="C183" s="3"/>
      <c r="D183" s="4"/>
      <c r="E183" s="4"/>
      <c r="F183" s="4"/>
      <c r="G183" s="4"/>
      <c r="H183" s="5"/>
      <c r="I183" s="5"/>
      <c r="J183" s="4"/>
      <c r="K183" s="4"/>
      <c r="L183" s="40"/>
      <c r="M183" s="4"/>
      <c r="N183" s="3"/>
      <c r="O183" s="4"/>
      <c r="P183" s="4"/>
      <c r="Q183" s="4"/>
    </row>
    <row r="184" ht="15.75" customHeight="1">
      <c r="A184" s="4"/>
      <c r="B184" s="3"/>
      <c r="C184" s="3"/>
      <c r="D184" s="4"/>
      <c r="E184" s="4"/>
      <c r="F184" s="4"/>
      <c r="G184" s="4"/>
      <c r="H184" s="5"/>
      <c r="I184" s="5"/>
      <c r="J184" s="4"/>
      <c r="K184" s="4"/>
      <c r="L184" s="40"/>
      <c r="M184" s="4"/>
      <c r="N184" s="3"/>
      <c r="O184" s="4"/>
      <c r="P184" s="4"/>
      <c r="Q184" s="4"/>
    </row>
    <row r="185" ht="15.75" customHeight="1">
      <c r="A185" s="4"/>
      <c r="B185" s="3"/>
      <c r="C185" s="3"/>
      <c r="D185" s="4"/>
      <c r="E185" s="4"/>
      <c r="F185" s="4"/>
      <c r="G185" s="4"/>
      <c r="H185" s="5"/>
      <c r="I185" s="5"/>
      <c r="J185" s="4"/>
      <c r="K185" s="4"/>
      <c r="L185" s="40"/>
      <c r="M185" s="4"/>
      <c r="N185" s="3"/>
      <c r="O185" s="4"/>
      <c r="P185" s="4"/>
      <c r="Q185" s="4"/>
    </row>
    <row r="186" ht="15.75" customHeight="1">
      <c r="A186" s="4"/>
      <c r="B186" s="3"/>
      <c r="C186" s="3"/>
      <c r="D186" s="4"/>
      <c r="E186" s="4"/>
      <c r="F186" s="4"/>
      <c r="G186" s="4"/>
      <c r="H186" s="5"/>
      <c r="I186" s="5"/>
      <c r="J186" s="4"/>
      <c r="K186" s="4"/>
      <c r="L186" s="40"/>
      <c r="M186" s="4"/>
      <c r="N186" s="3"/>
      <c r="O186" s="4"/>
      <c r="P186" s="4"/>
      <c r="Q186" s="4"/>
    </row>
    <row r="187" ht="15.75" customHeight="1">
      <c r="A187" s="4"/>
      <c r="B187" s="3"/>
      <c r="C187" s="3"/>
      <c r="D187" s="4"/>
      <c r="E187" s="4"/>
      <c r="F187" s="4"/>
      <c r="G187" s="4"/>
      <c r="H187" s="5"/>
      <c r="I187" s="5"/>
      <c r="J187" s="4"/>
      <c r="K187" s="4"/>
      <c r="L187" s="40"/>
      <c r="M187" s="4"/>
      <c r="N187" s="3"/>
      <c r="O187" s="4"/>
      <c r="P187" s="4"/>
      <c r="Q187" s="4"/>
    </row>
    <row r="188" ht="15.75" customHeight="1">
      <c r="A188" s="4"/>
      <c r="B188" s="3"/>
      <c r="C188" s="3"/>
      <c r="D188" s="4"/>
      <c r="E188" s="4"/>
      <c r="F188" s="4"/>
      <c r="G188" s="4"/>
      <c r="H188" s="5"/>
      <c r="I188" s="5"/>
      <c r="J188" s="4"/>
      <c r="K188" s="4"/>
      <c r="L188" s="40"/>
      <c r="M188" s="4"/>
      <c r="N188" s="3"/>
      <c r="O188" s="4"/>
      <c r="P188" s="4"/>
      <c r="Q188" s="4"/>
    </row>
    <row r="189" ht="15.75" customHeight="1">
      <c r="A189" s="4"/>
      <c r="B189" s="3"/>
      <c r="C189" s="3"/>
      <c r="D189" s="4"/>
      <c r="E189" s="4"/>
      <c r="F189" s="4"/>
      <c r="G189" s="4"/>
      <c r="H189" s="5"/>
      <c r="I189" s="5"/>
      <c r="J189" s="4"/>
      <c r="K189" s="4"/>
      <c r="L189" s="40"/>
      <c r="M189" s="4"/>
      <c r="N189" s="3"/>
      <c r="O189" s="4"/>
      <c r="P189" s="4"/>
      <c r="Q189" s="4"/>
    </row>
    <row r="190" ht="15.75" customHeight="1">
      <c r="A190" s="4"/>
      <c r="B190" s="3"/>
      <c r="C190" s="3"/>
      <c r="D190" s="4"/>
      <c r="E190" s="4"/>
      <c r="F190" s="4"/>
      <c r="G190" s="4"/>
      <c r="H190" s="5"/>
      <c r="I190" s="5"/>
      <c r="J190" s="4"/>
      <c r="K190" s="4"/>
      <c r="L190" s="40"/>
      <c r="M190" s="4"/>
      <c r="N190" s="3"/>
      <c r="O190" s="4"/>
      <c r="P190" s="4"/>
      <c r="Q190" s="4"/>
    </row>
    <row r="191" ht="15.75" customHeight="1">
      <c r="A191" s="4"/>
      <c r="B191" s="3"/>
      <c r="C191" s="3"/>
      <c r="D191" s="4"/>
      <c r="E191" s="4"/>
      <c r="F191" s="4"/>
      <c r="G191" s="4"/>
      <c r="H191" s="5"/>
      <c r="I191" s="5"/>
      <c r="J191" s="4"/>
      <c r="K191" s="4"/>
      <c r="L191" s="40"/>
      <c r="M191" s="4"/>
      <c r="N191" s="3"/>
      <c r="O191" s="4"/>
      <c r="P191" s="4"/>
      <c r="Q191" s="4"/>
    </row>
    <row r="192" ht="15.75" customHeight="1">
      <c r="A192" s="4"/>
      <c r="B192" s="3"/>
      <c r="C192" s="3"/>
      <c r="D192" s="4"/>
      <c r="E192" s="4"/>
      <c r="F192" s="4"/>
      <c r="G192" s="4"/>
      <c r="H192" s="5"/>
      <c r="I192" s="5"/>
      <c r="J192" s="4"/>
      <c r="K192" s="4"/>
      <c r="L192" s="40"/>
      <c r="M192" s="4"/>
      <c r="N192" s="3"/>
      <c r="O192" s="4"/>
      <c r="P192" s="4"/>
      <c r="Q192" s="4"/>
    </row>
    <row r="193" ht="15.75" customHeight="1">
      <c r="A193" s="4"/>
      <c r="B193" s="3"/>
      <c r="C193" s="3"/>
      <c r="D193" s="4"/>
      <c r="E193" s="4"/>
      <c r="F193" s="4"/>
      <c r="G193" s="4"/>
      <c r="H193" s="5"/>
      <c r="I193" s="5"/>
      <c r="J193" s="4"/>
      <c r="K193" s="4"/>
      <c r="L193" s="40"/>
      <c r="M193" s="4"/>
      <c r="N193" s="3"/>
      <c r="O193" s="4"/>
      <c r="P193" s="4"/>
      <c r="Q193" s="4"/>
    </row>
    <row r="194" ht="15.75" customHeight="1">
      <c r="A194" s="4"/>
      <c r="B194" s="3"/>
      <c r="C194" s="3"/>
      <c r="D194" s="4"/>
      <c r="E194" s="4"/>
      <c r="F194" s="4"/>
      <c r="G194" s="4"/>
      <c r="H194" s="5"/>
      <c r="I194" s="5"/>
      <c r="J194" s="4"/>
      <c r="K194" s="4"/>
      <c r="L194" s="40"/>
      <c r="M194" s="4"/>
      <c r="N194" s="3"/>
      <c r="O194" s="4"/>
      <c r="P194" s="4"/>
      <c r="Q194" s="4"/>
    </row>
    <row r="195" ht="15.75" customHeight="1">
      <c r="A195" s="4"/>
      <c r="B195" s="3"/>
      <c r="C195" s="3"/>
      <c r="D195" s="4"/>
      <c r="E195" s="4"/>
      <c r="F195" s="4"/>
      <c r="G195" s="4"/>
      <c r="H195" s="5"/>
      <c r="I195" s="5"/>
      <c r="J195" s="4"/>
      <c r="K195" s="4"/>
      <c r="L195" s="40"/>
      <c r="M195" s="4"/>
      <c r="N195" s="3"/>
      <c r="O195" s="4"/>
      <c r="P195" s="4"/>
      <c r="Q195" s="4"/>
    </row>
    <row r="196" ht="15.75" customHeight="1">
      <c r="A196" s="4"/>
      <c r="B196" s="3"/>
      <c r="C196" s="3"/>
      <c r="D196" s="4"/>
      <c r="E196" s="4"/>
      <c r="F196" s="4"/>
      <c r="G196" s="4"/>
      <c r="H196" s="5"/>
      <c r="I196" s="5"/>
      <c r="J196" s="4"/>
      <c r="K196" s="4"/>
      <c r="L196" s="40"/>
      <c r="M196" s="4"/>
      <c r="N196" s="3"/>
      <c r="O196" s="4"/>
      <c r="P196" s="4"/>
      <c r="Q196" s="4"/>
    </row>
    <row r="197" ht="15.75" customHeight="1">
      <c r="A197" s="4"/>
      <c r="B197" s="3"/>
      <c r="C197" s="3"/>
      <c r="D197" s="4"/>
      <c r="E197" s="4"/>
      <c r="F197" s="4"/>
      <c r="G197" s="4"/>
      <c r="H197" s="5"/>
      <c r="I197" s="5"/>
      <c r="J197" s="4"/>
      <c r="K197" s="4"/>
      <c r="L197" s="40"/>
      <c r="M197" s="4"/>
      <c r="N197" s="3"/>
      <c r="O197" s="4"/>
      <c r="P197" s="4"/>
      <c r="Q197" s="4"/>
    </row>
    <row r="198" ht="15.75" customHeight="1">
      <c r="A198" s="4"/>
      <c r="B198" s="3"/>
      <c r="C198" s="3"/>
      <c r="D198" s="4"/>
      <c r="E198" s="4"/>
      <c r="F198" s="4"/>
      <c r="G198" s="4"/>
      <c r="H198" s="5"/>
      <c r="I198" s="5"/>
      <c r="J198" s="4"/>
      <c r="K198" s="4"/>
      <c r="L198" s="40"/>
      <c r="M198" s="4"/>
      <c r="N198" s="3"/>
      <c r="O198" s="4"/>
      <c r="P198" s="4"/>
      <c r="Q198" s="4"/>
    </row>
    <row r="199" ht="15.75" customHeight="1">
      <c r="A199" s="4"/>
      <c r="B199" s="3"/>
      <c r="C199" s="3"/>
      <c r="D199" s="4"/>
      <c r="E199" s="4"/>
      <c r="F199" s="4"/>
      <c r="G199" s="4"/>
      <c r="H199" s="5"/>
      <c r="I199" s="5"/>
      <c r="J199" s="4"/>
      <c r="K199" s="4"/>
      <c r="L199" s="40"/>
      <c r="M199" s="4"/>
      <c r="N199" s="3"/>
      <c r="O199" s="4"/>
      <c r="P199" s="4"/>
      <c r="Q199" s="4"/>
    </row>
    <row r="200" ht="15.75" customHeight="1">
      <c r="A200" s="4"/>
      <c r="B200" s="3"/>
      <c r="C200" s="3"/>
      <c r="D200" s="4"/>
      <c r="E200" s="4"/>
      <c r="F200" s="4"/>
      <c r="G200" s="4"/>
      <c r="H200" s="5"/>
      <c r="I200" s="5"/>
      <c r="J200" s="4"/>
      <c r="K200" s="4"/>
      <c r="L200" s="40"/>
      <c r="M200" s="4"/>
      <c r="N200" s="3"/>
      <c r="O200" s="4"/>
      <c r="P200" s="4"/>
      <c r="Q200" s="4"/>
    </row>
    <row r="201" ht="15.75" customHeight="1">
      <c r="A201" s="4"/>
      <c r="B201" s="3"/>
      <c r="C201" s="3"/>
      <c r="D201" s="4"/>
      <c r="E201" s="4"/>
      <c r="F201" s="4"/>
      <c r="G201" s="4"/>
      <c r="H201" s="5"/>
      <c r="I201" s="5"/>
      <c r="J201" s="4"/>
      <c r="K201" s="4"/>
      <c r="L201" s="40"/>
      <c r="M201" s="4"/>
      <c r="N201" s="3"/>
      <c r="O201" s="4"/>
      <c r="P201" s="4"/>
      <c r="Q201" s="4"/>
    </row>
    <row r="202" ht="15.75" customHeight="1">
      <c r="A202" s="4"/>
      <c r="B202" s="3"/>
      <c r="C202" s="3"/>
      <c r="D202" s="4"/>
      <c r="E202" s="4"/>
      <c r="F202" s="4"/>
      <c r="G202" s="4"/>
      <c r="H202" s="5"/>
      <c r="I202" s="5"/>
      <c r="J202" s="4"/>
      <c r="K202" s="4"/>
      <c r="L202" s="40"/>
      <c r="M202" s="4"/>
      <c r="N202" s="3"/>
      <c r="O202" s="4"/>
      <c r="P202" s="4"/>
      <c r="Q202" s="4"/>
    </row>
    <row r="203" ht="15.75" customHeight="1">
      <c r="A203" s="4"/>
      <c r="B203" s="3"/>
      <c r="C203" s="3"/>
      <c r="D203" s="4"/>
      <c r="E203" s="4"/>
      <c r="F203" s="4"/>
      <c r="G203" s="4"/>
      <c r="H203" s="5"/>
      <c r="I203" s="5"/>
      <c r="J203" s="4"/>
      <c r="K203" s="4"/>
      <c r="L203" s="40"/>
      <c r="M203" s="4"/>
      <c r="N203" s="3"/>
      <c r="O203" s="4"/>
      <c r="P203" s="4"/>
      <c r="Q203" s="4"/>
    </row>
    <row r="204" ht="15.75" customHeight="1">
      <c r="A204" s="4"/>
      <c r="B204" s="3"/>
      <c r="C204" s="3"/>
      <c r="D204" s="4"/>
      <c r="E204" s="4"/>
      <c r="F204" s="4"/>
      <c r="G204" s="4"/>
      <c r="H204" s="5"/>
      <c r="I204" s="5"/>
      <c r="J204" s="4"/>
      <c r="K204" s="4"/>
      <c r="L204" s="40"/>
      <c r="M204" s="4"/>
      <c r="N204" s="3"/>
      <c r="O204" s="4"/>
      <c r="P204" s="4"/>
      <c r="Q204" s="4"/>
    </row>
    <row r="205" ht="15.75" customHeight="1">
      <c r="A205" s="4"/>
      <c r="B205" s="3"/>
      <c r="C205" s="3"/>
      <c r="D205" s="4"/>
      <c r="E205" s="4"/>
      <c r="F205" s="4"/>
      <c r="G205" s="4"/>
      <c r="H205" s="5"/>
      <c r="I205" s="5"/>
      <c r="J205" s="4"/>
      <c r="K205" s="4"/>
      <c r="L205" s="40"/>
      <c r="M205" s="4"/>
      <c r="N205" s="3"/>
      <c r="O205" s="4"/>
      <c r="P205" s="4"/>
      <c r="Q205" s="4"/>
    </row>
    <row r="206" ht="15.75" customHeight="1">
      <c r="A206" s="4"/>
      <c r="B206" s="3"/>
      <c r="C206" s="3"/>
      <c r="D206" s="4"/>
      <c r="E206" s="4"/>
      <c r="F206" s="4"/>
      <c r="G206" s="4"/>
      <c r="H206" s="5"/>
      <c r="I206" s="5"/>
      <c r="J206" s="4"/>
      <c r="K206" s="4"/>
      <c r="L206" s="40"/>
      <c r="M206" s="4"/>
      <c r="N206" s="3"/>
      <c r="O206" s="4"/>
      <c r="P206" s="4"/>
      <c r="Q206" s="4"/>
    </row>
    <row r="207" ht="15.75" customHeight="1">
      <c r="A207" s="4"/>
      <c r="B207" s="3"/>
      <c r="C207" s="3"/>
      <c r="D207" s="4"/>
      <c r="E207" s="4"/>
      <c r="F207" s="4"/>
      <c r="G207" s="4"/>
      <c r="H207" s="5"/>
      <c r="I207" s="5"/>
      <c r="J207" s="4"/>
      <c r="K207" s="4"/>
      <c r="L207" s="40"/>
      <c r="M207" s="4"/>
      <c r="N207" s="3"/>
      <c r="O207" s="4"/>
      <c r="P207" s="4"/>
      <c r="Q207" s="4"/>
    </row>
    <row r="208" ht="15.75" customHeight="1">
      <c r="A208" s="4"/>
      <c r="B208" s="3"/>
      <c r="C208" s="3"/>
      <c r="D208" s="4"/>
      <c r="E208" s="4"/>
      <c r="F208" s="4"/>
      <c r="G208" s="4"/>
      <c r="H208" s="5"/>
      <c r="I208" s="5"/>
      <c r="J208" s="4"/>
      <c r="K208" s="4"/>
      <c r="L208" s="40"/>
      <c r="M208" s="4"/>
      <c r="N208" s="3"/>
      <c r="O208" s="4"/>
      <c r="P208" s="4"/>
      <c r="Q208" s="4"/>
    </row>
    <row r="209" ht="15.75" customHeight="1">
      <c r="A209" s="4"/>
      <c r="B209" s="3"/>
      <c r="C209" s="3"/>
      <c r="D209" s="4"/>
      <c r="E209" s="4"/>
      <c r="F209" s="4"/>
      <c r="G209" s="4"/>
      <c r="H209" s="5"/>
      <c r="I209" s="5"/>
      <c r="J209" s="4"/>
      <c r="K209" s="4"/>
      <c r="L209" s="40"/>
      <c r="M209" s="4"/>
      <c r="N209" s="3"/>
      <c r="O209" s="4"/>
      <c r="P209" s="4"/>
      <c r="Q209" s="4"/>
    </row>
    <row r="210" ht="15.75" customHeight="1">
      <c r="A210" s="4"/>
      <c r="B210" s="3"/>
      <c r="C210" s="3"/>
      <c r="D210" s="4"/>
      <c r="E210" s="4"/>
      <c r="F210" s="4"/>
      <c r="G210" s="4"/>
      <c r="H210" s="5"/>
      <c r="I210" s="5"/>
      <c r="J210" s="4"/>
      <c r="K210" s="4"/>
      <c r="L210" s="40"/>
      <c r="M210" s="4"/>
      <c r="N210" s="3"/>
      <c r="O210" s="4"/>
      <c r="P210" s="4"/>
      <c r="Q210" s="4"/>
    </row>
    <row r="211" ht="15.75" customHeight="1">
      <c r="A211" s="4"/>
      <c r="B211" s="3"/>
      <c r="C211" s="3"/>
      <c r="D211" s="4"/>
      <c r="E211" s="4"/>
      <c r="F211" s="4"/>
      <c r="G211" s="4"/>
      <c r="H211" s="5"/>
      <c r="I211" s="5"/>
      <c r="J211" s="4"/>
      <c r="K211" s="4"/>
      <c r="L211" s="40"/>
      <c r="M211" s="4"/>
      <c r="N211" s="3"/>
      <c r="O211" s="4"/>
      <c r="P211" s="4"/>
      <c r="Q211" s="4"/>
    </row>
    <row r="212" ht="15.75" customHeight="1">
      <c r="A212" s="4"/>
      <c r="B212" s="3"/>
      <c r="C212" s="3"/>
      <c r="D212" s="4"/>
      <c r="E212" s="4"/>
      <c r="F212" s="4"/>
      <c r="G212" s="4"/>
      <c r="H212" s="5"/>
      <c r="I212" s="5"/>
      <c r="J212" s="4"/>
      <c r="K212" s="4"/>
      <c r="L212" s="40"/>
      <c r="M212" s="4"/>
      <c r="N212" s="3"/>
      <c r="O212" s="4"/>
      <c r="P212" s="4"/>
      <c r="Q212" s="4"/>
    </row>
    <row r="213" ht="15.75" customHeight="1">
      <c r="A213" s="4"/>
      <c r="B213" s="3"/>
      <c r="C213" s="3"/>
      <c r="D213" s="4"/>
      <c r="E213" s="4"/>
      <c r="F213" s="4"/>
      <c r="G213" s="4"/>
      <c r="H213" s="5"/>
      <c r="I213" s="5"/>
      <c r="J213" s="4"/>
      <c r="K213" s="4"/>
      <c r="L213" s="40"/>
      <c r="M213" s="4"/>
      <c r="N213" s="3"/>
      <c r="O213" s="4"/>
      <c r="P213" s="4"/>
      <c r="Q213" s="4"/>
    </row>
    <row r="214" ht="15.75" customHeight="1">
      <c r="A214" s="4"/>
      <c r="B214" s="3"/>
      <c r="C214" s="3"/>
      <c r="D214" s="4"/>
      <c r="E214" s="4"/>
      <c r="F214" s="4"/>
      <c r="G214" s="4"/>
      <c r="H214" s="5"/>
      <c r="I214" s="5"/>
      <c r="J214" s="4"/>
      <c r="K214" s="4"/>
      <c r="L214" s="40"/>
      <c r="M214" s="4"/>
      <c r="N214" s="3"/>
      <c r="O214" s="4"/>
      <c r="P214" s="4"/>
      <c r="Q214" s="4"/>
    </row>
    <row r="215" ht="15.75" customHeight="1">
      <c r="A215" s="4"/>
      <c r="B215" s="3"/>
      <c r="C215" s="3"/>
      <c r="D215" s="4"/>
      <c r="E215" s="4"/>
      <c r="F215" s="4"/>
      <c r="G215" s="4"/>
      <c r="H215" s="5"/>
      <c r="I215" s="5"/>
      <c r="J215" s="4"/>
      <c r="K215" s="4"/>
      <c r="L215" s="40"/>
      <c r="M215" s="4"/>
      <c r="N215" s="3"/>
      <c r="O215" s="4"/>
      <c r="P215" s="4"/>
      <c r="Q215" s="4"/>
    </row>
    <row r="216" ht="15.75" customHeight="1">
      <c r="A216" s="4"/>
      <c r="B216" s="3"/>
      <c r="C216" s="3"/>
      <c r="D216" s="4"/>
      <c r="E216" s="4"/>
      <c r="F216" s="4"/>
      <c r="G216" s="4"/>
      <c r="H216" s="5"/>
      <c r="I216" s="5"/>
      <c r="J216" s="4"/>
      <c r="K216" s="4"/>
      <c r="L216" s="40"/>
      <c r="M216" s="4"/>
      <c r="N216" s="3"/>
      <c r="O216" s="4"/>
      <c r="P216" s="4"/>
      <c r="Q216" s="4"/>
    </row>
    <row r="217" ht="15.75" customHeight="1">
      <c r="A217" s="4"/>
      <c r="B217" s="3"/>
      <c r="C217" s="3"/>
      <c r="D217" s="4"/>
      <c r="E217" s="4"/>
      <c r="F217" s="4"/>
      <c r="G217" s="4"/>
      <c r="H217" s="5"/>
      <c r="I217" s="5"/>
      <c r="J217" s="4"/>
      <c r="K217" s="4"/>
      <c r="L217" s="40"/>
      <c r="M217" s="4"/>
      <c r="N217" s="3"/>
      <c r="O217" s="4"/>
      <c r="P217" s="4"/>
      <c r="Q217" s="4"/>
    </row>
    <row r="218" ht="15.75" customHeight="1">
      <c r="A218" s="4"/>
      <c r="B218" s="3"/>
      <c r="C218" s="3"/>
      <c r="D218" s="4"/>
      <c r="E218" s="4"/>
      <c r="F218" s="4"/>
      <c r="G218" s="4"/>
      <c r="H218" s="5"/>
      <c r="I218" s="5"/>
      <c r="J218" s="4"/>
      <c r="K218" s="4"/>
      <c r="L218" s="40"/>
      <c r="M218" s="4"/>
      <c r="N218" s="3"/>
      <c r="O218" s="4"/>
      <c r="P218" s="4"/>
      <c r="Q218" s="4"/>
    </row>
    <row r="219" ht="15.75" customHeight="1">
      <c r="A219" s="4"/>
      <c r="B219" s="3"/>
      <c r="C219" s="3"/>
      <c r="D219" s="4"/>
      <c r="E219" s="4"/>
      <c r="F219" s="4"/>
      <c r="G219" s="4"/>
      <c r="H219" s="5"/>
      <c r="I219" s="5"/>
      <c r="J219" s="4"/>
      <c r="K219" s="4"/>
      <c r="L219" s="40"/>
      <c r="M219" s="4"/>
      <c r="N219" s="3"/>
      <c r="O219" s="4"/>
      <c r="P219" s="4"/>
      <c r="Q219" s="4"/>
    </row>
    <row r="220" ht="15.75" customHeight="1">
      <c r="A220" s="4"/>
      <c r="B220" s="3"/>
      <c r="C220" s="3"/>
      <c r="D220" s="4"/>
      <c r="E220" s="4"/>
      <c r="F220" s="4"/>
      <c r="G220" s="4"/>
      <c r="H220" s="5"/>
      <c r="I220" s="5"/>
      <c r="J220" s="4"/>
      <c r="K220" s="4"/>
      <c r="L220" s="40"/>
      <c r="M220" s="4"/>
      <c r="N220" s="3"/>
      <c r="O220" s="4"/>
      <c r="P220" s="4"/>
      <c r="Q220" s="4"/>
    </row>
    <row r="221" ht="15.75" customHeight="1">
      <c r="A221" s="4"/>
      <c r="B221" s="3"/>
      <c r="C221" s="3"/>
      <c r="D221" s="4"/>
      <c r="E221" s="4"/>
      <c r="F221" s="4"/>
      <c r="G221" s="4"/>
      <c r="H221" s="5"/>
      <c r="I221" s="5"/>
      <c r="J221" s="4"/>
      <c r="K221" s="4"/>
      <c r="L221" s="40"/>
      <c r="M221" s="4"/>
      <c r="N221" s="3"/>
      <c r="O221" s="4"/>
      <c r="P221" s="4"/>
      <c r="Q221" s="4"/>
    </row>
    <row r="222" ht="15.75" customHeight="1">
      <c r="A222" s="4"/>
      <c r="B222" s="3"/>
      <c r="C222" s="3"/>
      <c r="D222" s="4"/>
      <c r="E222" s="4"/>
      <c r="F222" s="4"/>
      <c r="G222" s="4"/>
      <c r="H222" s="5"/>
      <c r="I222" s="5"/>
      <c r="J222" s="4"/>
      <c r="K222" s="4"/>
      <c r="L222" s="40"/>
      <c r="M222" s="4"/>
      <c r="N222" s="3"/>
      <c r="O222" s="4"/>
      <c r="P222" s="4"/>
      <c r="Q222" s="4"/>
    </row>
    <row r="223" ht="15.75" customHeight="1">
      <c r="A223" s="4"/>
      <c r="B223" s="3"/>
      <c r="C223" s="3"/>
      <c r="D223" s="4"/>
      <c r="E223" s="4"/>
      <c r="F223" s="4"/>
      <c r="G223" s="4"/>
      <c r="H223" s="5"/>
      <c r="I223" s="5"/>
      <c r="J223" s="4"/>
      <c r="K223" s="4"/>
      <c r="L223" s="40"/>
      <c r="M223" s="4"/>
      <c r="N223" s="3"/>
      <c r="O223" s="4"/>
      <c r="P223" s="4"/>
      <c r="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4.43"/>
    <col customWidth="1" min="3" max="3" width="20.86"/>
    <col customWidth="1" min="4" max="4" width="18.71"/>
    <col customWidth="1" min="5" max="5" width="19.71"/>
    <col customWidth="1" min="6" max="6" width="11.29"/>
    <col customWidth="1" min="7" max="7" width="35.29"/>
    <col customWidth="1" min="8" max="8" width="15.0"/>
    <col customWidth="1" min="9" max="9" width="17.14"/>
    <col customWidth="1" min="10" max="10" width="12.43"/>
    <col customWidth="1" min="11" max="11" width="19.14"/>
    <col customWidth="1" min="12" max="12" width="17.14"/>
    <col customWidth="1" min="13" max="13" width="19.29"/>
    <col customWidth="1" min="14" max="14" width="17.14"/>
  </cols>
  <sheetData>
    <row r="1">
      <c r="A1" s="1" t="s">
        <v>0</v>
      </c>
      <c r="B1" s="2">
        <v>1.8275671E7</v>
      </c>
      <c r="C1" s="3">
        <v>24.0</v>
      </c>
      <c r="D1" s="4">
        <v>14.0</v>
      </c>
      <c r="E1" s="4"/>
      <c r="F1" s="4" t="s">
        <v>1</v>
      </c>
      <c r="G1" s="4" t="s">
        <v>2</v>
      </c>
      <c r="H1" s="5" t="s">
        <v>3</v>
      </c>
      <c r="I1" s="5" t="s">
        <v>4</v>
      </c>
      <c r="J1" s="4" t="s">
        <v>5</v>
      </c>
      <c r="K1" s="6" t="s">
        <v>6</v>
      </c>
      <c r="L1" s="7" t="s">
        <v>7</v>
      </c>
      <c r="M1" s="8" t="s">
        <v>8</v>
      </c>
      <c r="N1" s="8" t="s">
        <v>7</v>
      </c>
      <c r="O1" s="4"/>
      <c r="P1" s="4"/>
      <c r="Q1" s="4"/>
    </row>
    <row r="2">
      <c r="A2" s="1" t="s">
        <v>9</v>
      </c>
      <c r="B2" s="2">
        <v>1674696.0</v>
      </c>
      <c r="C2" s="3"/>
      <c r="D2" s="4"/>
      <c r="E2" s="4"/>
      <c r="F2" s="4"/>
      <c r="G2" s="3"/>
      <c r="H2" s="5">
        <f>Sum(H3:H13)</f>
        <v>-40654696</v>
      </c>
      <c r="I2" s="5">
        <f>Sum(I3:I12)</f>
        <v>34834696</v>
      </c>
      <c r="J2" s="3">
        <f>I2+H2</f>
        <v>-5820000</v>
      </c>
      <c r="K2" s="9" t="s">
        <v>10</v>
      </c>
      <c r="L2" s="10">
        <f>SUM(L3:Z10)</f>
        <v>-3180300</v>
      </c>
      <c r="M2" s="11" t="s">
        <v>10</v>
      </c>
      <c r="N2" s="8">
        <f>SUM(N3:N33)</f>
        <v>0</v>
      </c>
      <c r="O2" s="4"/>
      <c r="P2" s="4"/>
      <c r="Q2" s="4"/>
    </row>
    <row r="3">
      <c r="A3" s="1" t="s">
        <v>11</v>
      </c>
      <c r="B3" s="2"/>
      <c r="C3" s="3"/>
      <c r="D3" s="4"/>
      <c r="E3" s="4"/>
      <c r="F3" s="4" t="s">
        <v>68</v>
      </c>
      <c r="G3" s="3" t="s">
        <v>69</v>
      </c>
      <c r="H3" s="5">
        <v>-4500000.0</v>
      </c>
      <c r="I3" s="5"/>
      <c r="J3" s="3" t="s">
        <v>70</v>
      </c>
      <c r="K3" s="12" t="s">
        <v>71</v>
      </c>
      <c r="L3" s="40">
        <v>-502300.0</v>
      </c>
      <c r="M3" s="4"/>
      <c r="N3" s="3"/>
      <c r="O3" s="4"/>
      <c r="P3" s="4"/>
      <c r="Q3" s="4"/>
    </row>
    <row r="4">
      <c r="A4" s="14"/>
      <c r="B4" s="3"/>
      <c r="C4" s="3"/>
      <c r="D4" s="4"/>
      <c r="E4" s="4"/>
      <c r="F4" s="47" t="s">
        <v>72</v>
      </c>
      <c r="G4" s="39" t="s">
        <v>73</v>
      </c>
      <c r="H4" s="41">
        <v>-1674696.0</v>
      </c>
      <c r="I4" s="5"/>
      <c r="J4" s="3" t="s">
        <v>74</v>
      </c>
      <c r="K4" s="12" t="s">
        <v>75</v>
      </c>
      <c r="L4" s="40">
        <v>-289000.0</v>
      </c>
      <c r="M4" s="4"/>
      <c r="N4" s="3"/>
      <c r="O4" s="4"/>
      <c r="P4" s="4"/>
      <c r="Q4" s="4"/>
    </row>
    <row r="5">
      <c r="A5" s="14"/>
      <c r="B5" s="3"/>
      <c r="C5" s="3"/>
      <c r="D5" s="4"/>
      <c r="E5" s="4"/>
      <c r="F5" s="47" t="s">
        <v>76</v>
      </c>
      <c r="G5" s="39" t="s">
        <v>77</v>
      </c>
      <c r="H5" s="41">
        <v>-160000.0</v>
      </c>
      <c r="I5" s="5"/>
      <c r="J5" s="3" t="s">
        <v>78</v>
      </c>
      <c r="K5" s="12" t="s">
        <v>79</v>
      </c>
      <c r="L5" s="40">
        <v>-560000.0</v>
      </c>
      <c r="M5" s="4"/>
      <c r="N5" s="3"/>
      <c r="O5" s="4"/>
      <c r="P5" s="4"/>
      <c r="Q5" s="4"/>
    </row>
    <row r="6">
      <c r="A6" s="17" t="s">
        <v>17</v>
      </c>
      <c r="B6" s="18">
        <f>-L2</f>
        <v>3180300</v>
      </c>
      <c r="C6" s="3"/>
      <c r="D6" s="4"/>
      <c r="E6" s="4"/>
      <c r="F6" s="4" t="s">
        <v>80</v>
      </c>
      <c r="G6" s="39" t="s">
        <v>81</v>
      </c>
      <c r="H6" s="41">
        <v>-5000000.0</v>
      </c>
      <c r="I6" s="5"/>
      <c r="J6" s="3" t="s">
        <v>82</v>
      </c>
      <c r="K6" s="12" t="s">
        <v>83</v>
      </c>
      <c r="L6" s="40">
        <v>-229000.0</v>
      </c>
      <c r="M6" s="4"/>
      <c r="N6" s="3"/>
      <c r="O6" s="4"/>
      <c r="P6" s="4"/>
      <c r="Q6" s="4"/>
    </row>
    <row r="7">
      <c r="A7" s="14"/>
      <c r="B7" s="19">
        <f>B6+SUM(B1:B3)</f>
        <v>23130667</v>
      </c>
      <c r="C7" s="3"/>
      <c r="D7" s="4"/>
      <c r="E7" s="4"/>
      <c r="F7" s="47" t="s">
        <v>84</v>
      </c>
      <c r="G7" s="39" t="s">
        <v>85</v>
      </c>
      <c r="H7" s="41"/>
      <c r="I7" s="41">
        <v>1.6E7</v>
      </c>
      <c r="J7" s="4" t="s">
        <v>86</v>
      </c>
      <c r="K7" s="3" t="s">
        <v>87</v>
      </c>
      <c r="L7" s="5">
        <v>-600000.0</v>
      </c>
      <c r="M7" s="4"/>
      <c r="N7" s="3"/>
      <c r="O7" s="4"/>
      <c r="P7" s="4"/>
      <c r="Q7" s="4"/>
    </row>
    <row r="8">
      <c r="A8" s="20" t="s">
        <v>22</v>
      </c>
      <c r="B8" s="21"/>
      <c r="C8" s="3"/>
      <c r="D8" s="4"/>
      <c r="E8" s="4"/>
      <c r="F8" s="4" t="s">
        <v>82</v>
      </c>
      <c r="G8" s="39" t="s">
        <v>88</v>
      </c>
      <c r="H8" s="41"/>
      <c r="I8" s="41">
        <v>5000000.0</v>
      </c>
      <c r="J8" s="23">
        <v>46045.0</v>
      </c>
      <c r="K8" s="12" t="s">
        <v>89</v>
      </c>
      <c r="L8" s="5">
        <v>-1000000.0</v>
      </c>
      <c r="M8" s="4"/>
      <c r="N8" s="3"/>
      <c r="O8" s="4"/>
      <c r="P8" s="4"/>
      <c r="Q8" s="4"/>
    </row>
    <row r="9">
      <c r="A9" s="24" t="s">
        <v>24</v>
      </c>
      <c r="B9" s="21">
        <v>6000000.0</v>
      </c>
      <c r="C9" s="3"/>
      <c r="D9" s="4"/>
      <c r="E9" s="4"/>
      <c r="F9" s="42" t="s">
        <v>90</v>
      </c>
      <c r="G9" s="42" t="s">
        <v>91</v>
      </c>
      <c r="H9" s="41"/>
      <c r="I9" s="41">
        <v>1.2E7</v>
      </c>
      <c r="J9" s="3"/>
      <c r="K9" s="4"/>
      <c r="L9" s="40"/>
      <c r="M9" s="4"/>
      <c r="N9" s="3"/>
      <c r="O9" s="4"/>
      <c r="P9" s="4"/>
      <c r="Q9" s="4"/>
    </row>
    <row r="10">
      <c r="A10" s="26" t="s">
        <v>25</v>
      </c>
      <c r="B10" s="27">
        <v>1.9E7</v>
      </c>
      <c r="C10" s="3"/>
      <c r="D10" s="4"/>
      <c r="E10" s="4"/>
      <c r="F10" s="47" t="s">
        <v>92</v>
      </c>
      <c r="G10" s="39" t="s">
        <v>64</v>
      </c>
      <c r="H10" s="41">
        <v>-2.8E7</v>
      </c>
      <c r="I10" s="5"/>
      <c r="J10" s="3"/>
      <c r="K10" s="4"/>
      <c r="L10" s="40"/>
      <c r="M10" s="4"/>
      <c r="N10" s="3"/>
      <c r="O10" s="4"/>
      <c r="P10" s="4"/>
      <c r="Q10" s="4"/>
    </row>
    <row r="11">
      <c r="A11" s="26" t="s">
        <v>26</v>
      </c>
      <c r="B11" s="27">
        <f>18000000+11000000</f>
        <v>29000000</v>
      </c>
      <c r="C11" s="3"/>
      <c r="D11" s="4"/>
      <c r="E11" s="4"/>
      <c r="F11" s="47" t="s">
        <v>92</v>
      </c>
      <c r="G11" s="39" t="s">
        <v>93</v>
      </c>
      <c r="H11" s="41"/>
      <c r="I11" s="41">
        <v>1674696.0</v>
      </c>
      <c r="J11" s="3"/>
      <c r="K11" s="4"/>
      <c r="L11" s="40"/>
      <c r="M11" s="4"/>
      <c r="N11" s="3"/>
      <c r="O11" s="4"/>
      <c r="P11" s="4"/>
      <c r="Q11" s="4"/>
    </row>
    <row r="12">
      <c r="A12" s="26" t="s">
        <v>27</v>
      </c>
      <c r="B12" s="27">
        <v>5000000.0</v>
      </c>
      <c r="C12" s="3"/>
      <c r="D12" s="4"/>
      <c r="E12" s="4"/>
      <c r="F12" s="47" t="s">
        <v>92</v>
      </c>
      <c r="G12" s="39" t="s">
        <v>94</v>
      </c>
      <c r="H12" s="41"/>
      <c r="I12" s="41">
        <v>160000.0</v>
      </c>
      <c r="J12" s="3"/>
      <c r="K12" s="4"/>
      <c r="L12" s="40"/>
      <c r="M12" s="4"/>
      <c r="N12" s="3"/>
      <c r="O12" s="4"/>
      <c r="P12" s="4"/>
      <c r="Q12" s="4"/>
    </row>
    <row r="13">
      <c r="A13" s="28" t="s">
        <v>28</v>
      </c>
      <c r="B13" s="28">
        <f>SUM(B8:B12)-B7</f>
        <v>35869333</v>
      </c>
      <c r="C13" s="3"/>
      <c r="D13" s="4"/>
      <c r="E13" s="4"/>
      <c r="F13" s="4" t="s">
        <v>95</v>
      </c>
      <c r="G13" s="3" t="s">
        <v>96</v>
      </c>
      <c r="H13" s="5">
        <v>-1320000.0</v>
      </c>
      <c r="I13" s="5"/>
      <c r="J13" s="3"/>
      <c r="K13" s="4"/>
      <c r="L13" s="40"/>
      <c r="M13" s="4"/>
      <c r="N13" s="3"/>
      <c r="O13" s="4"/>
      <c r="P13" s="4"/>
      <c r="Q13" s="4"/>
    </row>
    <row r="14">
      <c r="A14" s="29" t="s">
        <v>97</v>
      </c>
      <c r="B14" s="29">
        <v>2.5E7</v>
      </c>
      <c r="C14" s="12" t="s">
        <v>30</v>
      </c>
      <c r="D14" s="3">
        <v>1.9E7</v>
      </c>
      <c r="E14" s="4"/>
      <c r="F14" s="4"/>
      <c r="G14" s="39"/>
      <c r="H14" s="41"/>
      <c r="I14" s="41"/>
      <c r="J14" s="3"/>
      <c r="K14" s="4"/>
      <c r="L14" s="40"/>
      <c r="M14" s="4"/>
      <c r="N14" s="3"/>
      <c r="O14" s="4"/>
      <c r="P14" s="4"/>
      <c r="Q14" s="4"/>
    </row>
    <row r="15">
      <c r="A15" s="29" t="s">
        <v>31</v>
      </c>
      <c r="B15" s="29">
        <v>1.0869333E7</v>
      </c>
      <c r="C15" s="4"/>
      <c r="D15" s="31">
        <f>B13-B14-B15</f>
        <v>0</v>
      </c>
      <c r="E15" s="4"/>
      <c r="F15" s="4"/>
      <c r="G15" s="3"/>
      <c r="H15" s="5"/>
      <c r="I15" s="5"/>
      <c r="J15" s="3"/>
      <c r="K15" s="4"/>
      <c r="L15" s="40"/>
      <c r="M15" s="4"/>
      <c r="N15" s="3"/>
      <c r="O15" s="4"/>
      <c r="P15" s="4"/>
      <c r="Q15" s="4"/>
    </row>
    <row r="16">
      <c r="A16" s="32"/>
      <c r="B16" s="33" t="s">
        <v>32</v>
      </c>
      <c r="C16" s="33" t="s">
        <v>33</v>
      </c>
      <c r="D16" s="32" t="s">
        <v>34</v>
      </c>
      <c r="E16" s="32" t="s">
        <v>35</v>
      </c>
      <c r="F16" s="4"/>
      <c r="G16" s="39"/>
      <c r="H16" s="41"/>
      <c r="I16" s="41"/>
      <c r="J16" s="3"/>
      <c r="K16" s="4"/>
      <c r="L16" s="40"/>
      <c r="M16" s="4"/>
      <c r="N16" s="3"/>
      <c r="O16" s="4"/>
      <c r="P16" s="4"/>
      <c r="Q16" s="4"/>
    </row>
    <row r="17">
      <c r="A17" s="34" t="s">
        <v>36</v>
      </c>
      <c r="B17" s="8">
        <f>C17+B14</f>
        <v>-4424911570</v>
      </c>
      <c r="C17" s="33">
        <f>'12-2025'!B17</f>
        <v>-4449911570</v>
      </c>
      <c r="D17" s="33">
        <v>-4.5E9</v>
      </c>
      <c r="E17" s="33">
        <f t="shared" ref="E17:E18" si="1">B17-D17</f>
        <v>75088430</v>
      </c>
      <c r="F17" s="4"/>
      <c r="G17" s="3"/>
      <c r="H17" s="5"/>
      <c r="I17" s="5"/>
      <c r="J17" s="3"/>
      <c r="K17" s="4"/>
      <c r="L17" s="40"/>
      <c r="M17" s="4"/>
      <c r="N17" s="3"/>
      <c r="O17" s="4"/>
      <c r="P17" s="4"/>
      <c r="Q17" s="4"/>
    </row>
    <row r="18">
      <c r="A18" s="34" t="s">
        <v>37</v>
      </c>
      <c r="B18" s="8">
        <f>C18+J2+N2+B15</f>
        <v>-392841620</v>
      </c>
      <c r="C18" s="33">
        <f>'12-2025'!B18</f>
        <v>-397890953</v>
      </c>
      <c r="D18" s="33">
        <v>-1.72699995E8</v>
      </c>
      <c r="E18" s="33">
        <f t="shared" si="1"/>
        <v>-220141625</v>
      </c>
      <c r="F18" s="4"/>
      <c r="G18" s="3"/>
      <c r="H18" s="5"/>
      <c r="I18" s="5"/>
      <c r="J18" s="3"/>
      <c r="K18" s="4"/>
      <c r="L18" s="40"/>
      <c r="M18" s="4"/>
      <c r="N18" s="3"/>
      <c r="O18" s="4"/>
      <c r="P18" s="4"/>
      <c r="Q18" s="4"/>
    </row>
    <row r="19">
      <c r="A19" s="35" t="s">
        <v>38</v>
      </c>
      <c r="B19" s="11">
        <f>B18+B17</f>
        <v>-4817753190</v>
      </c>
      <c r="C19" s="33"/>
      <c r="D19" s="33">
        <f t="shared" ref="D19:E19" si="2">SUM(D17:D18)</f>
        <v>-4672699995</v>
      </c>
      <c r="E19" s="33">
        <f t="shared" si="2"/>
        <v>-145053195</v>
      </c>
      <c r="F19" s="4"/>
      <c r="G19" s="3"/>
      <c r="H19" s="5"/>
      <c r="I19" s="5"/>
      <c r="J19" s="3"/>
      <c r="K19" s="4"/>
      <c r="L19" s="40"/>
      <c r="M19" s="4"/>
      <c r="N19" s="3"/>
      <c r="O19" s="4"/>
      <c r="P19" s="4"/>
      <c r="Q19" s="4"/>
    </row>
    <row r="20">
      <c r="A20" s="4"/>
      <c r="B20" s="3"/>
      <c r="C20" s="3"/>
      <c r="D20" s="4"/>
      <c r="E20" s="4"/>
      <c r="F20" s="4"/>
      <c r="G20" s="3"/>
      <c r="H20" s="5"/>
      <c r="I20" s="5"/>
      <c r="J20" s="3"/>
      <c r="K20" s="4"/>
      <c r="L20" s="40"/>
      <c r="M20" s="4"/>
      <c r="N20" s="3"/>
      <c r="O20" s="4"/>
      <c r="P20" s="4"/>
      <c r="Q20" s="4"/>
    </row>
    <row r="21" ht="15.75" customHeight="1">
      <c r="A21" s="4"/>
      <c r="B21" s="4"/>
      <c r="C21" s="4"/>
      <c r="D21" s="4"/>
      <c r="E21" s="4"/>
      <c r="F21" s="4"/>
      <c r="G21" s="39"/>
      <c r="H21" s="5"/>
      <c r="I21" s="5"/>
      <c r="J21" s="3"/>
      <c r="K21" s="4"/>
      <c r="L21" s="40"/>
      <c r="M21" s="4"/>
      <c r="N21" s="3"/>
      <c r="O21" s="4"/>
      <c r="P21" s="4"/>
      <c r="Q21" s="4"/>
    </row>
    <row r="22" ht="15.75" customHeight="1">
      <c r="A22" s="4" t="s">
        <v>39</v>
      </c>
      <c r="B22" s="4">
        <f>4.7/100</f>
        <v>0.047</v>
      </c>
      <c r="C22" s="4" t="s">
        <v>40</v>
      </c>
      <c r="D22" s="4"/>
      <c r="E22" s="4"/>
      <c r="F22" s="4"/>
      <c r="G22" s="3"/>
      <c r="H22" s="5"/>
      <c r="I22" s="5"/>
      <c r="J22" s="3"/>
      <c r="K22" s="4"/>
      <c r="L22" s="40"/>
      <c r="M22" s="4"/>
      <c r="N22" s="3"/>
      <c r="O22" s="4"/>
      <c r="P22" s="4"/>
      <c r="Q22" s="4"/>
    </row>
    <row r="23" ht="15.75" customHeight="1">
      <c r="A23" s="3" t="s">
        <v>41</v>
      </c>
      <c r="B23" s="36">
        <v>2.0E8</v>
      </c>
      <c r="C23" s="37">
        <v>45987.0</v>
      </c>
      <c r="D23" s="37"/>
      <c r="E23" s="4"/>
      <c r="F23" s="4"/>
      <c r="G23" s="3"/>
      <c r="H23" s="5"/>
      <c r="I23" s="5"/>
      <c r="J23" s="3"/>
      <c r="K23" s="4"/>
      <c r="L23" s="40"/>
      <c r="M23" s="4"/>
      <c r="N23" s="3"/>
      <c r="O23" s="4"/>
      <c r="P23" s="4"/>
      <c r="Q23" s="4"/>
    </row>
    <row r="24" ht="15.75" customHeight="1">
      <c r="A24" s="3"/>
      <c r="B24" s="36"/>
      <c r="C24" s="3">
        <f>B24+B18</f>
        <v>-392841620</v>
      </c>
      <c r="D24" s="38"/>
      <c r="E24" s="39"/>
      <c r="F24" s="4"/>
      <c r="G24" s="39"/>
      <c r="H24" s="41"/>
      <c r="I24" s="5"/>
      <c r="J24" s="3"/>
      <c r="K24" s="4"/>
      <c r="L24" s="40"/>
      <c r="M24" s="4"/>
      <c r="N24" s="3"/>
      <c r="O24" s="4"/>
      <c r="P24" s="4"/>
      <c r="Q24" s="4"/>
    </row>
    <row r="25" ht="15.75" customHeight="1">
      <c r="A25" s="4"/>
      <c r="B25" s="3"/>
      <c r="C25" s="3"/>
      <c r="D25" s="4"/>
      <c r="E25" s="4"/>
      <c r="F25" s="4"/>
      <c r="G25" s="3"/>
      <c r="H25" s="5"/>
      <c r="I25" s="5"/>
      <c r="J25" s="3"/>
      <c r="K25" s="4"/>
      <c r="L25" s="40"/>
      <c r="M25" s="4"/>
      <c r="N25" s="3"/>
      <c r="O25" s="4"/>
      <c r="P25" s="4"/>
      <c r="Q25" s="4"/>
    </row>
    <row r="26" ht="15.75" customHeight="1">
      <c r="A26" s="4"/>
      <c r="B26" s="3"/>
      <c r="C26" s="3"/>
      <c r="D26" s="4"/>
      <c r="E26" s="4"/>
      <c r="F26" s="4"/>
      <c r="G26" s="39"/>
      <c r="H26" s="41"/>
      <c r="I26" s="5"/>
      <c r="J26" s="3"/>
      <c r="K26" s="4"/>
      <c r="L26" s="40"/>
      <c r="M26" s="4"/>
      <c r="N26" s="3"/>
      <c r="O26" s="4"/>
      <c r="P26" s="4"/>
      <c r="Q26" s="4"/>
    </row>
    <row r="27" ht="15.75" customHeight="1">
      <c r="A27" s="4"/>
      <c r="B27" s="3"/>
      <c r="C27" s="3"/>
      <c r="D27" s="4"/>
      <c r="E27" s="4"/>
      <c r="F27" s="4"/>
      <c r="G27" s="3"/>
      <c r="H27" s="5"/>
      <c r="I27" s="5"/>
      <c r="J27" s="3"/>
      <c r="K27" s="4"/>
      <c r="L27" s="40"/>
      <c r="M27" s="4"/>
      <c r="N27" s="3"/>
      <c r="O27" s="4"/>
      <c r="P27" s="4"/>
      <c r="Q27" s="4"/>
    </row>
    <row r="28" ht="15.75" customHeight="1">
      <c r="A28" s="4"/>
      <c r="B28" s="3"/>
      <c r="C28" s="3"/>
      <c r="D28" s="4"/>
      <c r="E28" s="4"/>
      <c r="F28" s="4"/>
      <c r="G28" s="39"/>
      <c r="H28" s="41"/>
      <c r="I28" s="5"/>
      <c r="J28" s="3"/>
      <c r="K28" s="4"/>
      <c r="L28" s="40"/>
      <c r="M28" s="4"/>
      <c r="N28" s="3"/>
      <c r="O28" s="4"/>
      <c r="P28" s="4"/>
      <c r="Q28" s="4"/>
    </row>
    <row r="29" ht="15.75" customHeight="1">
      <c r="A29" s="4"/>
      <c r="B29" s="3"/>
      <c r="C29" s="3"/>
      <c r="D29" s="4"/>
      <c r="E29" s="4"/>
      <c r="F29" s="4"/>
      <c r="G29" s="39"/>
      <c r="H29" s="5"/>
      <c r="I29" s="41"/>
      <c r="J29" s="3"/>
      <c r="K29" s="4"/>
      <c r="L29" s="40"/>
      <c r="M29" s="4"/>
      <c r="N29" s="3"/>
      <c r="O29" s="4"/>
      <c r="P29" s="4"/>
      <c r="Q29" s="4"/>
    </row>
    <row r="30" ht="15.75" customHeight="1">
      <c r="A30" s="4"/>
      <c r="B30" s="3"/>
      <c r="C30" s="3"/>
      <c r="D30" s="4"/>
      <c r="E30" s="4"/>
      <c r="F30" s="4"/>
      <c r="G30" s="3"/>
      <c r="H30" s="5"/>
      <c r="I30" s="5"/>
      <c r="J30" s="3"/>
      <c r="K30" s="4"/>
      <c r="L30" s="40"/>
      <c r="M30" s="4"/>
      <c r="N30" s="3"/>
      <c r="O30" s="4"/>
      <c r="P30" s="4"/>
      <c r="Q30" s="4"/>
    </row>
    <row r="31" ht="15.75" customHeight="1">
      <c r="A31" s="4"/>
      <c r="B31" s="3"/>
      <c r="C31" s="3"/>
      <c r="D31" s="4"/>
      <c r="E31" s="4"/>
      <c r="F31" s="4"/>
      <c r="G31" s="3"/>
      <c r="H31" s="5"/>
      <c r="I31" s="5"/>
      <c r="J31" s="3"/>
      <c r="K31" s="4"/>
      <c r="L31" s="40"/>
      <c r="M31" s="4"/>
      <c r="N31" s="3"/>
      <c r="O31" s="4"/>
      <c r="P31" s="4"/>
      <c r="Q31" s="4"/>
    </row>
    <row r="32" ht="15.75" customHeight="1">
      <c r="A32" s="4"/>
      <c r="B32" s="3"/>
      <c r="C32" s="3"/>
      <c r="D32" s="4"/>
      <c r="E32" s="4"/>
      <c r="F32" s="4"/>
      <c r="G32" s="3"/>
      <c r="H32" s="5"/>
      <c r="I32" s="5"/>
      <c r="J32" s="3"/>
      <c r="K32" s="4"/>
      <c r="L32" s="40"/>
      <c r="M32" s="4"/>
      <c r="N32" s="3"/>
      <c r="O32" s="4"/>
      <c r="P32" s="4"/>
      <c r="Q32" s="4"/>
    </row>
    <row r="33" ht="15.75" customHeight="1">
      <c r="A33" s="4"/>
      <c r="B33" s="3"/>
      <c r="C33" s="3"/>
      <c r="D33" s="4"/>
      <c r="E33" s="4"/>
      <c r="F33" s="4"/>
      <c r="G33" s="3"/>
      <c r="H33" s="5"/>
      <c r="I33" s="5"/>
      <c r="J33" s="3"/>
      <c r="K33" s="4"/>
      <c r="L33" s="40"/>
      <c r="M33" s="4"/>
      <c r="N33" s="3"/>
      <c r="O33" s="4"/>
      <c r="P33" s="4"/>
      <c r="Q33" s="4"/>
    </row>
    <row r="34" ht="15.75" customHeight="1">
      <c r="A34" s="4"/>
      <c r="B34" s="3"/>
      <c r="C34" s="3"/>
      <c r="D34" s="4"/>
      <c r="E34" s="4"/>
      <c r="F34" s="4"/>
      <c r="G34" s="4"/>
      <c r="H34" s="5"/>
      <c r="I34" s="5"/>
      <c r="J34" s="4"/>
      <c r="K34" s="4"/>
      <c r="L34" s="40"/>
      <c r="M34" s="4"/>
      <c r="N34" s="3"/>
      <c r="O34" s="4"/>
      <c r="P34" s="4"/>
      <c r="Q34" s="4"/>
    </row>
    <row r="35" ht="15.75" customHeight="1">
      <c r="A35" s="4"/>
      <c r="B35" s="3"/>
      <c r="C35" s="3"/>
      <c r="D35" s="4"/>
      <c r="E35" s="4"/>
      <c r="F35" s="4"/>
      <c r="G35" s="4"/>
      <c r="H35" s="5"/>
      <c r="I35" s="5"/>
      <c r="J35" s="4"/>
      <c r="K35" s="4"/>
      <c r="L35" s="40"/>
      <c r="M35" s="4"/>
      <c r="N35" s="3"/>
      <c r="O35" s="4"/>
      <c r="P35" s="4"/>
      <c r="Q35" s="4"/>
    </row>
    <row r="36" ht="15.75" customHeight="1">
      <c r="A36" s="4"/>
      <c r="B36" s="3"/>
      <c r="C36" s="3"/>
      <c r="D36" s="4"/>
      <c r="E36" s="4"/>
      <c r="F36" s="4"/>
      <c r="G36" s="4"/>
      <c r="H36" s="5"/>
      <c r="I36" s="5"/>
      <c r="J36" s="4"/>
      <c r="K36" s="4"/>
      <c r="L36" s="40"/>
      <c r="M36" s="4"/>
      <c r="N36" s="3"/>
      <c r="O36" s="4"/>
      <c r="P36" s="4"/>
      <c r="Q36" s="4"/>
    </row>
    <row r="37" ht="15.75" customHeight="1">
      <c r="A37" s="4"/>
      <c r="B37" s="3"/>
      <c r="C37" s="3"/>
      <c r="D37" s="4"/>
      <c r="E37" s="4"/>
      <c r="F37" s="4"/>
      <c r="G37" s="4"/>
      <c r="H37" s="5"/>
      <c r="I37" s="5"/>
      <c r="J37" s="4"/>
      <c r="K37" s="4"/>
      <c r="L37" s="40"/>
      <c r="M37" s="4"/>
      <c r="N37" s="3"/>
      <c r="O37" s="4"/>
      <c r="P37" s="4"/>
      <c r="Q37" s="4"/>
    </row>
    <row r="38" ht="15.75" customHeight="1">
      <c r="A38" s="4"/>
      <c r="B38" s="3"/>
      <c r="C38" s="3"/>
      <c r="D38" s="4"/>
      <c r="E38" s="4"/>
      <c r="F38" s="4"/>
      <c r="G38" s="4"/>
      <c r="H38" s="5"/>
      <c r="I38" s="5"/>
      <c r="J38" s="4"/>
      <c r="K38" s="4"/>
      <c r="L38" s="40"/>
      <c r="M38" s="4"/>
      <c r="N38" s="3"/>
      <c r="O38" s="4"/>
      <c r="P38" s="4"/>
      <c r="Q38" s="4"/>
    </row>
    <row r="39" ht="15.75" customHeight="1">
      <c r="A39" s="4"/>
      <c r="B39" s="3"/>
      <c r="C39" s="3"/>
      <c r="D39" s="4"/>
      <c r="E39" s="4"/>
      <c r="F39" s="4"/>
      <c r="G39" s="4"/>
      <c r="H39" s="5"/>
      <c r="I39" s="5"/>
      <c r="J39" s="4"/>
      <c r="K39" s="4"/>
      <c r="L39" s="40"/>
      <c r="M39" s="4"/>
      <c r="N39" s="3"/>
      <c r="O39" s="4"/>
      <c r="P39" s="4"/>
      <c r="Q39" s="4"/>
    </row>
    <row r="40" ht="15.75" customHeight="1">
      <c r="A40" s="4"/>
      <c r="B40" s="3"/>
      <c r="C40" s="3"/>
      <c r="D40" s="4"/>
      <c r="E40" s="4"/>
      <c r="F40" s="4"/>
      <c r="G40" s="4"/>
      <c r="H40" s="5"/>
      <c r="I40" s="5"/>
      <c r="J40" s="4"/>
      <c r="K40" s="4"/>
      <c r="L40" s="40"/>
      <c r="M40" s="4"/>
      <c r="N40" s="3"/>
      <c r="O40" s="4"/>
      <c r="P40" s="4"/>
      <c r="Q40" s="4"/>
    </row>
    <row r="41" ht="15.75" customHeight="1">
      <c r="A41" s="4"/>
      <c r="B41" s="3"/>
      <c r="C41" s="3"/>
      <c r="D41" s="4"/>
      <c r="E41" s="4"/>
      <c r="F41" s="4"/>
      <c r="G41" s="4"/>
      <c r="H41" s="5"/>
      <c r="I41" s="5"/>
      <c r="J41" s="4"/>
      <c r="K41" s="4"/>
      <c r="L41" s="40"/>
      <c r="M41" s="4"/>
      <c r="N41" s="3"/>
      <c r="O41" s="4"/>
      <c r="P41" s="4"/>
      <c r="Q41" s="4"/>
    </row>
    <row r="42" ht="15.75" customHeight="1">
      <c r="A42" s="4"/>
      <c r="B42" s="3"/>
      <c r="C42" s="3"/>
      <c r="D42" s="4"/>
      <c r="E42" s="4"/>
      <c r="F42" s="4"/>
      <c r="G42" s="4"/>
      <c r="H42" s="5"/>
      <c r="I42" s="5"/>
      <c r="J42" s="4"/>
      <c r="K42" s="4"/>
      <c r="L42" s="40"/>
      <c r="M42" s="4"/>
      <c r="N42" s="3"/>
      <c r="O42" s="4"/>
      <c r="P42" s="4"/>
      <c r="Q42" s="4"/>
    </row>
    <row r="43" ht="15.75" customHeight="1">
      <c r="A43" s="4"/>
      <c r="B43" s="3"/>
      <c r="C43" s="3"/>
      <c r="D43" s="4"/>
      <c r="E43" s="4"/>
      <c r="F43" s="4"/>
      <c r="G43" s="4"/>
      <c r="H43" s="5"/>
      <c r="I43" s="5"/>
      <c r="J43" s="4"/>
      <c r="K43" s="4"/>
      <c r="L43" s="40"/>
      <c r="M43" s="4"/>
      <c r="N43" s="3"/>
      <c r="O43" s="4"/>
      <c r="P43" s="4"/>
      <c r="Q43" s="4"/>
    </row>
    <row r="44" ht="15.75" customHeight="1">
      <c r="A44" s="4"/>
      <c r="B44" s="3"/>
      <c r="C44" s="3"/>
      <c r="D44" s="4"/>
      <c r="E44" s="4"/>
      <c r="F44" s="4"/>
      <c r="G44" s="4"/>
      <c r="H44" s="5"/>
      <c r="I44" s="5"/>
      <c r="J44" s="4"/>
      <c r="K44" s="4"/>
      <c r="L44" s="40"/>
      <c r="M44" s="4"/>
      <c r="N44" s="3"/>
      <c r="O44" s="4"/>
      <c r="P44" s="4"/>
      <c r="Q44" s="4"/>
    </row>
    <row r="45" ht="15.75" customHeight="1">
      <c r="A45" s="4"/>
      <c r="B45" s="3"/>
      <c r="C45" s="3"/>
      <c r="D45" s="4"/>
      <c r="E45" s="4"/>
      <c r="F45" s="4"/>
      <c r="G45" s="4"/>
      <c r="H45" s="5"/>
      <c r="I45" s="5"/>
      <c r="J45" s="4"/>
      <c r="K45" s="4"/>
      <c r="L45" s="40"/>
      <c r="M45" s="4"/>
      <c r="N45" s="3"/>
      <c r="O45" s="4"/>
      <c r="P45" s="4"/>
      <c r="Q45" s="4"/>
    </row>
    <row r="46" ht="15.75" customHeight="1">
      <c r="A46" s="4"/>
      <c r="B46" s="3"/>
      <c r="C46" s="3"/>
      <c r="D46" s="4"/>
      <c r="E46" s="4"/>
      <c r="F46" s="4"/>
      <c r="G46" s="4"/>
      <c r="H46" s="5"/>
      <c r="I46" s="5"/>
      <c r="J46" s="4"/>
      <c r="K46" s="4"/>
      <c r="L46" s="40"/>
      <c r="M46" s="4"/>
      <c r="N46" s="3"/>
      <c r="O46" s="4"/>
      <c r="P46" s="4"/>
      <c r="Q46" s="4"/>
    </row>
    <row r="47" ht="15.75" customHeight="1">
      <c r="A47" s="4"/>
      <c r="B47" s="3"/>
      <c r="C47" s="3"/>
      <c r="D47" s="4"/>
      <c r="E47" s="4"/>
      <c r="F47" s="4"/>
      <c r="G47" s="4"/>
      <c r="H47" s="5"/>
      <c r="I47" s="5"/>
      <c r="J47" s="4"/>
      <c r="K47" s="4"/>
      <c r="L47" s="40"/>
      <c r="M47" s="4"/>
      <c r="N47" s="3"/>
      <c r="O47" s="4"/>
      <c r="P47" s="4"/>
      <c r="Q47" s="4"/>
    </row>
    <row r="48" ht="15.75" customHeight="1">
      <c r="A48" s="4"/>
      <c r="B48" s="3"/>
      <c r="C48" s="3"/>
      <c r="D48" s="4"/>
      <c r="E48" s="4"/>
      <c r="F48" s="4"/>
      <c r="G48" s="4"/>
      <c r="H48" s="5"/>
      <c r="I48" s="5"/>
      <c r="J48" s="4"/>
      <c r="K48" s="4"/>
      <c r="L48" s="40"/>
      <c r="M48" s="4"/>
      <c r="N48" s="3"/>
      <c r="O48" s="4"/>
      <c r="P48" s="4"/>
      <c r="Q48" s="4"/>
    </row>
    <row r="49" ht="15.75" customHeight="1">
      <c r="A49" s="4"/>
      <c r="B49" s="3"/>
      <c r="C49" s="3"/>
      <c r="D49" s="4"/>
      <c r="E49" s="4"/>
      <c r="F49" s="4"/>
      <c r="G49" s="4"/>
      <c r="H49" s="5"/>
      <c r="I49" s="5"/>
      <c r="J49" s="4"/>
      <c r="K49" s="4"/>
      <c r="L49" s="40"/>
      <c r="M49" s="4"/>
      <c r="N49" s="3"/>
      <c r="O49" s="4"/>
      <c r="P49" s="4"/>
      <c r="Q49" s="4"/>
    </row>
    <row r="50" ht="15.75" customHeight="1">
      <c r="A50" s="4"/>
      <c r="B50" s="3"/>
      <c r="C50" s="3"/>
      <c r="D50" s="4"/>
      <c r="E50" s="4"/>
      <c r="F50" s="4"/>
      <c r="G50" s="4"/>
      <c r="H50" s="5"/>
      <c r="I50" s="5"/>
      <c r="J50" s="4"/>
      <c r="K50" s="4"/>
      <c r="L50" s="40"/>
      <c r="M50" s="4"/>
      <c r="N50" s="3"/>
      <c r="O50" s="4"/>
      <c r="P50" s="4"/>
      <c r="Q50" s="4"/>
    </row>
    <row r="51" ht="15.75" customHeight="1">
      <c r="A51" s="4"/>
      <c r="B51" s="3"/>
      <c r="C51" s="3"/>
      <c r="D51" s="4"/>
      <c r="E51" s="4"/>
      <c r="F51" s="4"/>
      <c r="G51" s="4"/>
      <c r="H51" s="5"/>
      <c r="I51" s="5"/>
      <c r="J51" s="4"/>
      <c r="K51" s="4"/>
      <c r="L51" s="40"/>
      <c r="M51" s="4"/>
      <c r="N51" s="3"/>
      <c r="O51" s="4"/>
      <c r="P51" s="4"/>
      <c r="Q51" s="4"/>
    </row>
    <row r="52" ht="15.75" customHeight="1">
      <c r="A52" s="4"/>
      <c r="B52" s="3"/>
      <c r="C52" s="3"/>
      <c r="D52" s="4"/>
      <c r="E52" s="4"/>
      <c r="F52" s="4"/>
      <c r="G52" s="4"/>
      <c r="H52" s="5"/>
      <c r="I52" s="5"/>
      <c r="J52" s="4"/>
      <c r="K52" s="4"/>
      <c r="L52" s="40"/>
      <c r="M52" s="4"/>
      <c r="N52" s="3"/>
      <c r="O52" s="4"/>
      <c r="P52" s="4"/>
      <c r="Q52" s="4"/>
    </row>
    <row r="53" ht="15.75" customHeight="1">
      <c r="A53" s="4"/>
      <c r="B53" s="3"/>
      <c r="C53" s="3"/>
      <c r="D53" s="4"/>
      <c r="E53" s="4"/>
      <c r="F53" s="4"/>
      <c r="G53" s="4"/>
      <c r="H53" s="5"/>
      <c r="I53" s="5"/>
      <c r="J53" s="4"/>
      <c r="K53" s="4"/>
      <c r="L53" s="40"/>
      <c r="M53" s="4"/>
      <c r="N53" s="3"/>
      <c r="O53" s="4"/>
      <c r="P53" s="4"/>
      <c r="Q53" s="4"/>
    </row>
    <row r="54" ht="15.75" customHeight="1">
      <c r="A54" s="4"/>
      <c r="B54" s="3"/>
      <c r="C54" s="3"/>
      <c r="D54" s="4"/>
      <c r="E54" s="4"/>
      <c r="F54" s="4"/>
      <c r="G54" s="4"/>
      <c r="H54" s="5"/>
      <c r="I54" s="5"/>
      <c r="J54" s="4"/>
      <c r="K54" s="4"/>
      <c r="L54" s="40"/>
      <c r="M54" s="4"/>
      <c r="N54" s="3"/>
      <c r="O54" s="4"/>
      <c r="P54" s="4"/>
      <c r="Q54" s="4"/>
    </row>
    <row r="55" ht="15.75" customHeight="1">
      <c r="A55" s="4"/>
      <c r="B55" s="3"/>
      <c r="C55" s="3"/>
      <c r="D55" s="4"/>
      <c r="E55" s="4"/>
      <c r="F55" s="4"/>
      <c r="G55" s="4"/>
      <c r="H55" s="5"/>
      <c r="I55" s="5"/>
      <c r="J55" s="4"/>
      <c r="K55" s="4"/>
      <c r="L55" s="40"/>
      <c r="M55" s="4"/>
      <c r="N55" s="3"/>
      <c r="O55" s="4"/>
      <c r="P55" s="4"/>
      <c r="Q55" s="4"/>
    </row>
    <row r="56" ht="15.75" customHeight="1">
      <c r="A56" s="4"/>
      <c r="B56" s="3"/>
      <c r="C56" s="3"/>
      <c r="D56" s="4"/>
      <c r="E56" s="4"/>
      <c r="F56" s="4"/>
      <c r="G56" s="4"/>
      <c r="H56" s="5"/>
      <c r="I56" s="5"/>
      <c r="J56" s="4"/>
      <c r="K56" s="4"/>
      <c r="L56" s="40"/>
      <c r="M56" s="4"/>
      <c r="N56" s="3"/>
      <c r="O56" s="4"/>
      <c r="P56" s="4"/>
      <c r="Q56" s="4"/>
    </row>
    <row r="57" ht="15.75" customHeight="1">
      <c r="A57" s="4"/>
      <c r="B57" s="3"/>
      <c r="C57" s="3"/>
      <c r="D57" s="4"/>
      <c r="E57" s="4"/>
      <c r="F57" s="4"/>
      <c r="G57" s="4"/>
      <c r="H57" s="5"/>
      <c r="I57" s="5"/>
      <c r="J57" s="4"/>
      <c r="K57" s="4"/>
      <c r="L57" s="40"/>
      <c r="M57" s="4"/>
      <c r="N57" s="3"/>
      <c r="O57" s="4"/>
      <c r="P57" s="4"/>
      <c r="Q57" s="4"/>
    </row>
    <row r="58" ht="15.75" customHeight="1">
      <c r="A58" s="4"/>
      <c r="B58" s="3"/>
      <c r="C58" s="3"/>
      <c r="D58" s="4"/>
      <c r="E58" s="4"/>
      <c r="F58" s="4"/>
      <c r="G58" s="4"/>
      <c r="H58" s="5"/>
      <c r="I58" s="5"/>
      <c r="J58" s="4"/>
      <c r="K58" s="4"/>
      <c r="L58" s="40"/>
      <c r="M58" s="4"/>
      <c r="N58" s="3"/>
      <c r="O58" s="4"/>
      <c r="P58" s="4"/>
      <c r="Q58" s="4"/>
    </row>
    <row r="59" ht="15.75" customHeight="1">
      <c r="A59" s="4"/>
      <c r="B59" s="3"/>
      <c r="C59" s="3"/>
      <c r="D59" s="4"/>
      <c r="E59" s="4"/>
      <c r="F59" s="4"/>
      <c r="G59" s="4"/>
      <c r="H59" s="5"/>
      <c r="I59" s="5"/>
      <c r="J59" s="4"/>
      <c r="K59" s="4"/>
      <c r="L59" s="40"/>
      <c r="M59" s="4"/>
      <c r="N59" s="3"/>
      <c r="O59" s="4"/>
      <c r="P59" s="4"/>
      <c r="Q59" s="4"/>
    </row>
    <row r="60" ht="15.75" customHeight="1">
      <c r="A60" s="4"/>
      <c r="B60" s="3"/>
      <c r="C60" s="3"/>
      <c r="D60" s="4"/>
      <c r="E60" s="4"/>
      <c r="F60" s="4"/>
      <c r="G60" s="4"/>
      <c r="H60" s="5"/>
      <c r="I60" s="5"/>
      <c r="J60" s="4"/>
      <c r="K60" s="4"/>
      <c r="L60" s="40"/>
      <c r="M60" s="4"/>
      <c r="N60" s="3"/>
      <c r="O60" s="4"/>
      <c r="P60" s="4"/>
      <c r="Q60" s="4"/>
    </row>
    <row r="61" ht="15.75" customHeight="1">
      <c r="A61" s="4"/>
      <c r="B61" s="3"/>
      <c r="C61" s="3"/>
      <c r="D61" s="4"/>
      <c r="E61" s="4"/>
      <c r="F61" s="4"/>
      <c r="G61" s="4"/>
      <c r="H61" s="5"/>
      <c r="I61" s="5"/>
      <c r="J61" s="4"/>
      <c r="K61" s="4"/>
      <c r="L61" s="40"/>
      <c r="M61" s="4"/>
      <c r="N61" s="3"/>
      <c r="O61" s="4"/>
      <c r="P61" s="4"/>
      <c r="Q61" s="4"/>
    </row>
    <row r="62" ht="15.75" customHeight="1">
      <c r="A62" s="4"/>
      <c r="B62" s="3"/>
      <c r="C62" s="3"/>
      <c r="D62" s="4"/>
      <c r="E62" s="4"/>
      <c r="F62" s="4"/>
      <c r="G62" s="4"/>
      <c r="H62" s="5"/>
      <c r="I62" s="5"/>
      <c r="J62" s="4"/>
      <c r="K62" s="4"/>
      <c r="L62" s="40"/>
      <c r="M62" s="4"/>
      <c r="N62" s="3"/>
      <c r="O62" s="4"/>
      <c r="P62" s="4"/>
      <c r="Q62" s="4"/>
    </row>
    <row r="63" ht="15.75" customHeight="1">
      <c r="A63" s="4"/>
      <c r="B63" s="3"/>
      <c r="C63" s="3"/>
      <c r="D63" s="4"/>
      <c r="E63" s="4"/>
      <c r="F63" s="4"/>
      <c r="G63" s="4"/>
      <c r="H63" s="5"/>
      <c r="I63" s="5"/>
      <c r="J63" s="4"/>
      <c r="K63" s="4"/>
      <c r="L63" s="40"/>
      <c r="M63" s="4"/>
      <c r="N63" s="3"/>
      <c r="O63" s="4"/>
      <c r="P63" s="4"/>
      <c r="Q63" s="4"/>
    </row>
    <row r="64" ht="15.75" customHeight="1">
      <c r="A64" s="4"/>
      <c r="B64" s="3"/>
      <c r="C64" s="3"/>
      <c r="D64" s="4"/>
      <c r="E64" s="4"/>
      <c r="F64" s="4"/>
      <c r="G64" s="4"/>
      <c r="H64" s="5"/>
      <c r="I64" s="5"/>
      <c r="J64" s="4"/>
      <c r="K64" s="4"/>
      <c r="L64" s="40"/>
      <c r="M64" s="4"/>
      <c r="N64" s="3"/>
      <c r="O64" s="4"/>
      <c r="P64" s="4"/>
      <c r="Q64" s="4"/>
    </row>
    <row r="65" ht="15.75" customHeight="1">
      <c r="A65" s="4"/>
      <c r="B65" s="3"/>
      <c r="C65" s="3"/>
      <c r="D65" s="4"/>
      <c r="E65" s="4"/>
      <c r="F65" s="4"/>
      <c r="G65" s="4"/>
      <c r="H65" s="5"/>
      <c r="I65" s="5"/>
      <c r="J65" s="4"/>
      <c r="K65" s="4"/>
      <c r="L65" s="40"/>
      <c r="M65" s="4"/>
      <c r="N65" s="3"/>
      <c r="O65" s="4"/>
      <c r="P65" s="4"/>
      <c r="Q65" s="4"/>
    </row>
    <row r="66" ht="15.75" customHeight="1">
      <c r="A66" s="4"/>
      <c r="B66" s="3"/>
      <c r="C66" s="3"/>
      <c r="D66" s="4"/>
      <c r="E66" s="4"/>
      <c r="F66" s="4"/>
      <c r="G66" s="4"/>
      <c r="H66" s="5"/>
      <c r="I66" s="5"/>
      <c r="J66" s="4"/>
      <c r="K66" s="4"/>
      <c r="L66" s="40"/>
      <c r="M66" s="4"/>
      <c r="N66" s="3"/>
      <c r="O66" s="4"/>
      <c r="P66" s="4"/>
      <c r="Q66" s="4"/>
    </row>
    <row r="67" ht="15.75" customHeight="1">
      <c r="A67" s="4"/>
      <c r="B67" s="3"/>
      <c r="C67" s="3"/>
      <c r="D67" s="4"/>
      <c r="E67" s="4"/>
      <c r="F67" s="4"/>
      <c r="G67" s="4"/>
      <c r="H67" s="5"/>
      <c r="I67" s="5"/>
      <c r="J67" s="4"/>
      <c r="K67" s="4"/>
      <c r="L67" s="40"/>
      <c r="M67" s="4"/>
      <c r="N67" s="3"/>
      <c r="O67" s="4"/>
      <c r="P67" s="4"/>
      <c r="Q67" s="4"/>
    </row>
    <row r="68" ht="15.75" customHeight="1">
      <c r="A68" s="4"/>
      <c r="B68" s="3"/>
      <c r="C68" s="3"/>
      <c r="D68" s="4"/>
      <c r="E68" s="4"/>
      <c r="F68" s="4"/>
      <c r="G68" s="4"/>
      <c r="H68" s="5"/>
      <c r="I68" s="5"/>
      <c r="J68" s="4"/>
      <c r="K68" s="4"/>
      <c r="L68" s="40"/>
      <c r="M68" s="4"/>
      <c r="N68" s="3"/>
      <c r="O68" s="4"/>
      <c r="P68" s="4"/>
      <c r="Q68" s="4"/>
    </row>
    <row r="69" ht="15.75" customHeight="1">
      <c r="A69" s="4"/>
      <c r="B69" s="3"/>
      <c r="C69" s="3"/>
      <c r="D69" s="4"/>
      <c r="E69" s="4"/>
      <c r="F69" s="4"/>
      <c r="G69" s="4"/>
      <c r="H69" s="5"/>
      <c r="I69" s="5"/>
      <c r="J69" s="4"/>
      <c r="K69" s="4"/>
      <c r="L69" s="40"/>
      <c r="M69" s="4"/>
      <c r="N69" s="3"/>
      <c r="O69" s="4"/>
      <c r="P69" s="4"/>
      <c r="Q69" s="4"/>
    </row>
    <row r="70" ht="15.75" customHeight="1">
      <c r="A70" s="4"/>
      <c r="B70" s="3"/>
      <c r="C70" s="3"/>
      <c r="D70" s="4"/>
      <c r="E70" s="4"/>
      <c r="F70" s="4"/>
      <c r="G70" s="4"/>
      <c r="H70" s="5"/>
      <c r="I70" s="5"/>
      <c r="J70" s="4"/>
      <c r="K70" s="4"/>
      <c r="L70" s="40"/>
      <c r="M70" s="4"/>
      <c r="N70" s="3"/>
      <c r="O70" s="4"/>
      <c r="P70" s="4"/>
      <c r="Q70" s="4"/>
    </row>
    <row r="71" ht="15.75" customHeight="1">
      <c r="A71" s="4"/>
      <c r="B71" s="3"/>
      <c r="C71" s="3"/>
      <c r="D71" s="4"/>
      <c r="E71" s="4"/>
      <c r="F71" s="4"/>
      <c r="G71" s="4"/>
      <c r="H71" s="5"/>
      <c r="I71" s="5"/>
      <c r="J71" s="4"/>
      <c r="K71" s="4"/>
      <c r="L71" s="40"/>
      <c r="M71" s="4"/>
      <c r="N71" s="3"/>
      <c r="O71" s="4"/>
      <c r="P71" s="4"/>
      <c r="Q71" s="4"/>
    </row>
    <row r="72" ht="15.75" customHeight="1">
      <c r="A72" s="4"/>
      <c r="B72" s="3"/>
      <c r="C72" s="3"/>
      <c r="D72" s="4"/>
      <c r="E72" s="4"/>
      <c r="F72" s="4"/>
      <c r="G72" s="4"/>
      <c r="H72" s="5"/>
      <c r="I72" s="5"/>
      <c r="J72" s="4"/>
      <c r="K72" s="4"/>
      <c r="L72" s="40"/>
      <c r="M72" s="4"/>
      <c r="N72" s="3"/>
      <c r="O72" s="4"/>
      <c r="P72" s="4"/>
      <c r="Q72" s="4"/>
    </row>
    <row r="73" ht="15.75" customHeight="1">
      <c r="A73" s="4"/>
      <c r="B73" s="3"/>
      <c r="C73" s="3"/>
      <c r="D73" s="4"/>
      <c r="E73" s="4"/>
      <c r="F73" s="4"/>
      <c r="G73" s="4"/>
      <c r="H73" s="5"/>
      <c r="I73" s="5"/>
      <c r="J73" s="4"/>
      <c r="K73" s="4"/>
      <c r="L73" s="40"/>
      <c r="M73" s="4"/>
      <c r="N73" s="3"/>
      <c r="O73" s="4"/>
      <c r="P73" s="4"/>
      <c r="Q73" s="4"/>
    </row>
    <row r="74" ht="15.75" customHeight="1">
      <c r="A74" s="4"/>
      <c r="B74" s="3"/>
      <c r="C74" s="3"/>
      <c r="D74" s="4"/>
      <c r="E74" s="4"/>
      <c r="F74" s="4"/>
      <c r="G74" s="4"/>
      <c r="H74" s="5"/>
      <c r="I74" s="5"/>
      <c r="J74" s="4"/>
      <c r="K74" s="4"/>
      <c r="L74" s="40"/>
      <c r="M74" s="4"/>
      <c r="N74" s="3"/>
      <c r="O74" s="4"/>
      <c r="P74" s="4"/>
      <c r="Q74" s="4"/>
    </row>
    <row r="75" ht="15.75" customHeight="1">
      <c r="A75" s="4"/>
      <c r="B75" s="3"/>
      <c r="C75" s="3"/>
      <c r="D75" s="4"/>
      <c r="E75" s="4"/>
      <c r="F75" s="4"/>
      <c r="G75" s="4"/>
      <c r="H75" s="5"/>
      <c r="I75" s="5"/>
      <c r="J75" s="4"/>
      <c r="K75" s="4"/>
      <c r="L75" s="40"/>
      <c r="M75" s="4"/>
      <c r="N75" s="3"/>
      <c r="O75" s="4"/>
      <c r="P75" s="4"/>
      <c r="Q75" s="4"/>
    </row>
    <row r="76" ht="15.75" customHeight="1">
      <c r="A76" s="4"/>
      <c r="B76" s="3"/>
      <c r="C76" s="3"/>
      <c r="D76" s="4"/>
      <c r="E76" s="4"/>
      <c r="F76" s="4"/>
      <c r="G76" s="4"/>
      <c r="H76" s="5"/>
      <c r="I76" s="5"/>
      <c r="J76" s="4"/>
      <c r="K76" s="4"/>
      <c r="L76" s="40"/>
      <c r="M76" s="4"/>
      <c r="N76" s="3"/>
      <c r="O76" s="4"/>
      <c r="P76" s="4"/>
      <c r="Q76" s="4"/>
    </row>
    <row r="77" ht="15.75" customHeight="1">
      <c r="A77" s="4"/>
      <c r="B77" s="3"/>
      <c r="C77" s="3"/>
      <c r="D77" s="4"/>
      <c r="E77" s="4"/>
      <c r="F77" s="4"/>
      <c r="G77" s="4"/>
      <c r="H77" s="5"/>
      <c r="I77" s="5"/>
      <c r="J77" s="4"/>
      <c r="K77" s="4"/>
      <c r="L77" s="40"/>
      <c r="M77" s="4"/>
      <c r="N77" s="3"/>
      <c r="O77" s="4"/>
      <c r="P77" s="4"/>
      <c r="Q77" s="4"/>
    </row>
    <row r="78" ht="15.75" customHeight="1">
      <c r="A78" s="4"/>
      <c r="B78" s="3"/>
      <c r="C78" s="3"/>
      <c r="D78" s="4"/>
      <c r="E78" s="4"/>
      <c r="F78" s="4"/>
      <c r="G78" s="4"/>
      <c r="H78" s="5"/>
      <c r="I78" s="5"/>
      <c r="J78" s="4"/>
      <c r="K78" s="4"/>
      <c r="L78" s="40"/>
      <c r="M78" s="4"/>
      <c r="N78" s="3"/>
      <c r="O78" s="4"/>
      <c r="P78" s="4"/>
      <c r="Q78" s="4"/>
    </row>
    <row r="79" ht="15.75" customHeight="1">
      <c r="A79" s="4"/>
      <c r="B79" s="3"/>
      <c r="C79" s="3"/>
      <c r="D79" s="4"/>
      <c r="E79" s="4"/>
      <c r="F79" s="4"/>
      <c r="G79" s="4"/>
      <c r="H79" s="5"/>
      <c r="I79" s="5"/>
      <c r="J79" s="4"/>
      <c r="K79" s="4"/>
      <c r="L79" s="40"/>
      <c r="M79" s="4"/>
      <c r="N79" s="3"/>
      <c r="O79" s="4"/>
      <c r="P79" s="4"/>
      <c r="Q79" s="4"/>
    </row>
    <row r="80" ht="15.75" customHeight="1">
      <c r="A80" s="4"/>
      <c r="B80" s="3"/>
      <c r="C80" s="3"/>
      <c r="D80" s="4"/>
      <c r="E80" s="4"/>
      <c r="F80" s="4"/>
      <c r="G80" s="4"/>
      <c r="H80" s="5"/>
      <c r="I80" s="5"/>
      <c r="J80" s="4"/>
      <c r="K80" s="4"/>
      <c r="L80" s="40"/>
      <c r="M80" s="4"/>
      <c r="N80" s="3"/>
      <c r="O80" s="4"/>
      <c r="P80" s="4"/>
      <c r="Q80" s="4"/>
    </row>
    <row r="81" ht="15.75" customHeight="1">
      <c r="A81" s="4"/>
      <c r="B81" s="3"/>
      <c r="C81" s="3"/>
      <c r="D81" s="4"/>
      <c r="E81" s="4"/>
      <c r="F81" s="4"/>
      <c r="G81" s="4"/>
      <c r="H81" s="5"/>
      <c r="I81" s="5"/>
      <c r="J81" s="4"/>
      <c r="K81" s="4"/>
      <c r="L81" s="40"/>
      <c r="M81" s="4"/>
      <c r="N81" s="3"/>
      <c r="O81" s="4"/>
      <c r="P81" s="4"/>
      <c r="Q81" s="4"/>
    </row>
    <row r="82" ht="15.75" customHeight="1">
      <c r="A82" s="4"/>
      <c r="B82" s="3"/>
      <c r="C82" s="3"/>
      <c r="D82" s="4"/>
      <c r="E82" s="4"/>
      <c r="F82" s="4"/>
      <c r="G82" s="4"/>
      <c r="H82" s="5"/>
      <c r="I82" s="5"/>
      <c r="J82" s="4"/>
      <c r="K82" s="4"/>
      <c r="L82" s="40"/>
      <c r="M82" s="4"/>
      <c r="N82" s="3"/>
      <c r="O82" s="4"/>
      <c r="P82" s="4"/>
      <c r="Q82" s="4"/>
    </row>
    <row r="83" ht="15.75" customHeight="1">
      <c r="A83" s="4"/>
      <c r="B83" s="3"/>
      <c r="C83" s="3"/>
      <c r="D83" s="4"/>
      <c r="E83" s="4"/>
      <c r="F83" s="4"/>
      <c r="G83" s="4"/>
      <c r="H83" s="5"/>
      <c r="I83" s="5"/>
      <c r="J83" s="4"/>
      <c r="K83" s="4"/>
      <c r="L83" s="40"/>
      <c r="M83" s="4"/>
      <c r="N83" s="3"/>
      <c r="O83" s="4"/>
      <c r="P83" s="4"/>
      <c r="Q83" s="4"/>
    </row>
    <row r="84" ht="15.75" customHeight="1">
      <c r="A84" s="4"/>
      <c r="B84" s="3"/>
      <c r="C84" s="3"/>
      <c r="D84" s="4"/>
      <c r="E84" s="4"/>
      <c r="F84" s="4"/>
      <c r="G84" s="4"/>
      <c r="H84" s="5"/>
      <c r="I84" s="5"/>
      <c r="J84" s="4"/>
      <c r="K84" s="4"/>
      <c r="L84" s="40"/>
      <c r="M84" s="4"/>
      <c r="N84" s="3"/>
      <c r="O84" s="4"/>
      <c r="P84" s="4"/>
      <c r="Q84" s="4"/>
    </row>
    <row r="85" ht="15.75" customHeight="1">
      <c r="A85" s="4"/>
      <c r="B85" s="3"/>
      <c r="C85" s="3"/>
      <c r="D85" s="4"/>
      <c r="E85" s="4"/>
      <c r="F85" s="4"/>
      <c r="G85" s="4"/>
      <c r="H85" s="5"/>
      <c r="I85" s="5"/>
      <c r="J85" s="4"/>
      <c r="K85" s="4"/>
      <c r="L85" s="40"/>
      <c r="M85" s="4"/>
      <c r="N85" s="3"/>
      <c r="O85" s="4"/>
      <c r="P85" s="4"/>
      <c r="Q85" s="4"/>
    </row>
    <row r="86" ht="15.75" customHeight="1">
      <c r="A86" s="4"/>
      <c r="B86" s="3"/>
      <c r="C86" s="3"/>
      <c r="D86" s="4"/>
      <c r="E86" s="4"/>
      <c r="F86" s="4"/>
      <c r="G86" s="4"/>
      <c r="H86" s="5"/>
      <c r="I86" s="5"/>
      <c r="J86" s="4"/>
      <c r="K86" s="4"/>
      <c r="L86" s="40"/>
      <c r="M86" s="4"/>
      <c r="N86" s="3"/>
      <c r="O86" s="4"/>
      <c r="P86" s="4"/>
      <c r="Q86" s="4"/>
    </row>
    <row r="87" ht="15.75" customHeight="1">
      <c r="A87" s="4"/>
      <c r="B87" s="3"/>
      <c r="C87" s="3"/>
      <c r="D87" s="4"/>
      <c r="E87" s="4"/>
      <c r="F87" s="4"/>
      <c r="G87" s="4"/>
      <c r="H87" s="5"/>
      <c r="I87" s="5"/>
      <c r="J87" s="4"/>
      <c r="K87" s="4"/>
      <c r="L87" s="40"/>
      <c r="M87" s="4"/>
      <c r="N87" s="3"/>
      <c r="O87" s="4"/>
      <c r="P87" s="4"/>
      <c r="Q87" s="4"/>
    </row>
    <row r="88" ht="15.75" customHeight="1">
      <c r="A88" s="4"/>
      <c r="B88" s="3"/>
      <c r="C88" s="3"/>
      <c r="D88" s="4"/>
      <c r="E88" s="4"/>
      <c r="F88" s="4"/>
      <c r="G88" s="4"/>
      <c r="H88" s="5"/>
      <c r="I88" s="5"/>
      <c r="J88" s="4"/>
      <c r="K88" s="4"/>
      <c r="L88" s="40"/>
      <c r="M88" s="4"/>
      <c r="N88" s="3"/>
      <c r="O88" s="4"/>
      <c r="P88" s="4"/>
      <c r="Q88" s="4"/>
    </row>
    <row r="89" ht="15.75" customHeight="1">
      <c r="A89" s="4"/>
      <c r="B89" s="3"/>
      <c r="C89" s="3"/>
      <c r="D89" s="4"/>
      <c r="E89" s="4"/>
      <c r="F89" s="4"/>
      <c r="G89" s="4"/>
      <c r="H89" s="5"/>
      <c r="I89" s="5"/>
      <c r="J89" s="4"/>
      <c r="K89" s="4"/>
      <c r="L89" s="40"/>
      <c r="M89" s="4"/>
      <c r="N89" s="3"/>
      <c r="O89" s="4"/>
      <c r="P89" s="4"/>
      <c r="Q89" s="4"/>
    </row>
    <row r="90" ht="15.75" customHeight="1">
      <c r="A90" s="4"/>
      <c r="B90" s="3"/>
      <c r="C90" s="3"/>
      <c r="D90" s="4"/>
      <c r="E90" s="4"/>
      <c r="F90" s="4"/>
      <c r="G90" s="4"/>
      <c r="H90" s="5"/>
      <c r="I90" s="5"/>
      <c r="J90" s="4"/>
      <c r="K90" s="4"/>
      <c r="L90" s="40"/>
      <c r="M90" s="4"/>
      <c r="N90" s="3"/>
      <c r="O90" s="4"/>
      <c r="P90" s="4"/>
      <c r="Q90" s="4"/>
    </row>
    <row r="91" ht="15.75" customHeight="1">
      <c r="A91" s="4"/>
      <c r="B91" s="3"/>
      <c r="C91" s="3"/>
      <c r="D91" s="4"/>
      <c r="E91" s="4"/>
      <c r="F91" s="4"/>
      <c r="G91" s="4"/>
      <c r="H91" s="5"/>
      <c r="I91" s="5"/>
      <c r="J91" s="4"/>
      <c r="K91" s="4"/>
      <c r="L91" s="40"/>
      <c r="M91" s="4"/>
      <c r="N91" s="3"/>
      <c r="O91" s="4"/>
      <c r="P91" s="4"/>
      <c r="Q91" s="4"/>
    </row>
    <row r="92" ht="15.75" customHeight="1">
      <c r="A92" s="4"/>
      <c r="B92" s="3"/>
      <c r="C92" s="3"/>
      <c r="D92" s="4"/>
      <c r="E92" s="4"/>
      <c r="F92" s="4"/>
      <c r="G92" s="4"/>
      <c r="H92" s="5"/>
      <c r="I92" s="5"/>
      <c r="J92" s="4"/>
      <c r="K92" s="4"/>
      <c r="L92" s="40"/>
      <c r="M92" s="4"/>
      <c r="N92" s="3"/>
      <c r="O92" s="4"/>
      <c r="P92" s="4"/>
      <c r="Q92" s="4"/>
    </row>
    <row r="93" ht="15.75" customHeight="1">
      <c r="A93" s="4"/>
      <c r="B93" s="3"/>
      <c r="C93" s="3"/>
      <c r="D93" s="4"/>
      <c r="E93" s="4"/>
      <c r="F93" s="4"/>
      <c r="G93" s="4"/>
      <c r="H93" s="5"/>
      <c r="I93" s="5"/>
      <c r="J93" s="4"/>
      <c r="K93" s="4"/>
      <c r="L93" s="40"/>
      <c r="M93" s="4"/>
      <c r="N93" s="3"/>
      <c r="O93" s="4"/>
      <c r="P93" s="4"/>
      <c r="Q93" s="4"/>
    </row>
    <row r="94" ht="15.75" customHeight="1">
      <c r="A94" s="4"/>
      <c r="B94" s="3"/>
      <c r="C94" s="3"/>
      <c r="D94" s="4"/>
      <c r="E94" s="4"/>
      <c r="F94" s="4"/>
      <c r="G94" s="4"/>
      <c r="H94" s="5"/>
      <c r="I94" s="5"/>
      <c r="J94" s="4"/>
      <c r="K94" s="4"/>
      <c r="L94" s="40"/>
      <c r="M94" s="4"/>
      <c r="N94" s="3"/>
      <c r="O94" s="4"/>
      <c r="P94" s="4"/>
      <c r="Q94" s="4"/>
    </row>
    <row r="95" ht="15.75" customHeight="1">
      <c r="A95" s="4"/>
      <c r="B95" s="3"/>
      <c r="C95" s="3"/>
      <c r="D95" s="4"/>
      <c r="E95" s="4"/>
      <c r="F95" s="4"/>
      <c r="G95" s="4"/>
      <c r="H95" s="5"/>
      <c r="I95" s="5"/>
      <c r="J95" s="4"/>
      <c r="K95" s="4"/>
      <c r="L95" s="40"/>
      <c r="M95" s="4"/>
      <c r="N95" s="3"/>
      <c r="O95" s="4"/>
      <c r="P95" s="4"/>
      <c r="Q95" s="4"/>
    </row>
    <row r="96" ht="15.75" customHeight="1">
      <c r="A96" s="4"/>
      <c r="B96" s="3"/>
      <c r="C96" s="3"/>
      <c r="D96" s="4"/>
      <c r="E96" s="4"/>
      <c r="F96" s="4"/>
      <c r="G96" s="4"/>
      <c r="H96" s="5"/>
      <c r="I96" s="5"/>
      <c r="J96" s="4"/>
      <c r="K96" s="4"/>
      <c r="L96" s="40"/>
      <c r="M96" s="4"/>
      <c r="N96" s="3"/>
      <c r="O96" s="4"/>
      <c r="P96" s="4"/>
      <c r="Q96" s="4"/>
    </row>
    <row r="97" ht="15.75" customHeight="1">
      <c r="A97" s="4"/>
      <c r="B97" s="3"/>
      <c r="C97" s="3"/>
      <c r="D97" s="4"/>
      <c r="E97" s="4"/>
      <c r="F97" s="4"/>
      <c r="G97" s="4"/>
      <c r="H97" s="5"/>
      <c r="I97" s="5"/>
      <c r="J97" s="4"/>
      <c r="K97" s="4"/>
      <c r="L97" s="40"/>
      <c r="M97" s="4"/>
      <c r="N97" s="3"/>
      <c r="O97" s="4"/>
      <c r="P97" s="4"/>
      <c r="Q97" s="4"/>
    </row>
    <row r="98" ht="15.75" customHeight="1">
      <c r="A98" s="4"/>
      <c r="B98" s="3"/>
      <c r="C98" s="3"/>
      <c r="D98" s="4"/>
      <c r="E98" s="4"/>
      <c r="F98" s="4"/>
      <c r="G98" s="4"/>
      <c r="H98" s="5"/>
      <c r="I98" s="5"/>
      <c r="J98" s="4"/>
      <c r="K98" s="4"/>
      <c r="L98" s="40"/>
      <c r="M98" s="4"/>
      <c r="N98" s="3"/>
      <c r="O98" s="4"/>
      <c r="P98" s="4"/>
      <c r="Q98" s="4"/>
    </row>
    <row r="99" ht="15.75" customHeight="1">
      <c r="A99" s="4"/>
      <c r="B99" s="3"/>
      <c r="C99" s="3"/>
      <c r="D99" s="4"/>
      <c r="E99" s="4"/>
      <c r="F99" s="4"/>
      <c r="G99" s="4"/>
      <c r="H99" s="5"/>
      <c r="I99" s="5"/>
      <c r="J99" s="4"/>
      <c r="K99" s="4"/>
      <c r="L99" s="40"/>
      <c r="M99" s="4"/>
      <c r="N99" s="3"/>
      <c r="O99" s="4"/>
      <c r="P99" s="4"/>
      <c r="Q99" s="4"/>
    </row>
    <row r="100" ht="15.75" customHeight="1">
      <c r="A100" s="4"/>
      <c r="B100" s="3"/>
      <c r="C100" s="3"/>
      <c r="D100" s="4"/>
      <c r="E100" s="4"/>
      <c r="F100" s="4"/>
      <c r="G100" s="4"/>
      <c r="H100" s="5"/>
      <c r="I100" s="5"/>
      <c r="J100" s="4"/>
      <c r="K100" s="4"/>
      <c r="L100" s="40"/>
      <c r="M100" s="4"/>
      <c r="N100" s="3"/>
      <c r="O100" s="4"/>
      <c r="P100" s="4"/>
      <c r="Q100" s="4"/>
    </row>
    <row r="101" ht="15.75" customHeight="1">
      <c r="A101" s="4"/>
      <c r="B101" s="3"/>
      <c r="C101" s="3"/>
      <c r="D101" s="4"/>
      <c r="E101" s="4"/>
      <c r="F101" s="4"/>
      <c r="G101" s="4"/>
      <c r="H101" s="5"/>
      <c r="I101" s="5"/>
      <c r="J101" s="4"/>
      <c r="K101" s="4"/>
      <c r="L101" s="40"/>
      <c r="M101" s="4"/>
      <c r="N101" s="3"/>
      <c r="O101" s="4"/>
      <c r="P101" s="4"/>
      <c r="Q101" s="4"/>
    </row>
    <row r="102" ht="15.75" customHeight="1">
      <c r="A102" s="4"/>
      <c r="B102" s="3"/>
      <c r="C102" s="3"/>
      <c r="D102" s="4"/>
      <c r="E102" s="4"/>
      <c r="F102" s="4"/>
      <c r="G102" s="4"/>
      <c r="H102" s="5"/>
      <c r="I102" s="5"/>
      <c r="J102" s="4"/>
      <c r="K102" s="4"/>
      <c r="L102" s="40"/>
      <c r="M102" s="4"/>
      <c r="N102" s="3"/>
      <c r="O102" s="4"/>
      <c r="P102" s="4"/>
      <c r="Q102" s="4"/>
    </row>
    <row r="103" ht="15.75" customHeight="1">
      <c r="A103" s="4"/>
      <c r="B103" s="3"/>
      <c r="C103" s="3"/>
      <c r="D103" s="4"/>
      <c r="E103" s="4"/>
      <c r="F103" s="4"/>
      <c r="G103" s="4"/>
      <c r="H103" s="5"/>
      <c r="I103" s="5"/>
      <c r="J103" s="4"/>
      <c r="K103" s="4"/>
      <c r="L103" s="40"/>
      <c r="M103" s="4"/>
      <c r="N103" s="3"/>
      <c r="O103" s="4"/>
      <c r="P103" s="4"/>
      <c r="Q103" s="4"/>
    </row>
    <row r="104" ht="15.75" customHeight="1">
      <c r="A104" s="4"/>
      <c r="B104" s="3"/>
      <c r="C104" s="3"/>
      <c r="D104" s="4"/>
      <c r="E104" s="4"/>
      <c r="F104" s="4"/>
      <c r="G104" s="4"/>
      <c r="H104" s="5"/>
      <c r="I104" s="5"/>
      <c r="J104" s="4"/>
      <c r="K104" s="4"/>
      <c r="L104" s="40"/>
      <c r="M104" s="4"/>
      <c r="N104" s="3"/>
      <c r="O104" s="4"/>
      <c r="P104" s="4"/>
      <c r="Q104" s="4"/>
    </row>
    <row r="105" ht="15.75" customHeight="1">
      <c r="A105" s="4"/>
      <c r="B105" s="3"/>
      <c r="C105" s="3"/>
      <c r="D105" s="4"/>
      <c r="E105" s="4"/>
      <c r="F105" s="4"/>
      <c r="G105" s="4"/>
      <c r="H105" s="5"/>
      <c r="I105" s="5"/>
      <c r="J105" s="4"/>
      <c r="K105" s="4"/>
      <c r="L105" s="40"/>
      <c r="M105" s="4"/>
      <c r="N105" s="3"/>
      <c r="O105" s="4"/>
      <c r="P105" s="4"/>
      <c r="Q105" s="4"/>
    </row>
    <row r="106" ht="15.75" customHeight="1">
      <c r="A106" s="4"/>
      <c r="B106" s="3"/>
      <c r="C106" s="3"/>
      <c r="D106" s="4"/>
      <c r="E106" s="4"/>
      <c r="F106" s="4"/>
      <c r="G106" s="4"/>
      <c r="H106" s="5"/>
      <c r="I106" s="5"/>
      <c r="J106" s="4"/>
      <c r="K106" s="4"/>
      <c r="L106" s="40"/>
      <c r="M106" s="4"/>
      <c r="N106" s="3"/>
      <c r="O106" s="4"/>
      <c r="P106" s="4"/>
      <c r="Q106" s="4"/>
    </row>
    <row r="107" ht="15.75" customHeight="1">
      <c r="A107" s="4"/>
      <c r="B107" s="3"/>
      <c r="C107" s="3"/>
      <c r="D107" s="4"/>
      <c r="E107" s="4"/>
      <c r="F107" s="4"/>
      <c r="G107" s="4"/>
      <c r="H107" s="5"/>
      <c r="I107" s="5"/>
      <c r="J107" s="4"/>
      <c r="K107" s="4"/>
      <c r="L107" s="40"/>
      <c r="M107" s="4"/>
      <c r="N107" s="3"/>
      <c r="O107" s="4"/>
      <c r="P107" s="4"/>
      <c r="Q107" s="4"/>
    </row>
    <row r="108" ht="15.75" customHeight="1">
      <c r="A108" s="4"/>
      <c r="B108" s="3"/>
      <c r="C108" s="3"/>
      <c r="D108" s="4"/>
      <c r="E108" s="4"/>
      <c r="F108" s="4"/>
      <c r="G108" s="4"/>
      <c r="H108" s="5"/>
      <c r="I108" s="5"/>
      <c r="J108" s="4"/>
      <c r="K108" s="4"/>
      <c r="L108" s="40"/>
      <c r="M108" s="4"/>
      <c r="N108" s="3"/>
      <c r="O108" s="4"/>
      <c r="P108" s="4"/>
      <c r="Q108" s="4"/>
    </row>
    <row r="109" ht="15.75" customHeight="1">
      <c r="A109" s="4"/>
      <c r="B109" s="3"/>
      <c r="C109" s="3"/>
      <c r="D109" s="4"/>
      <c r="E109" s="4"/>
      <c r="F109" s="4"/>
      <c r="G109" s="4"/>
      <c r="H109" s="5"/>
      <c r="I109" s="5"/>
      <c r="J109" s="4"/>
      <c r="K109" s="4"/>
      <c r="L109" s="40"/>
      <c r="M109" s="4"/>
      <c r="N109" s="3"/>
      <c r="O109" s="4"/>
      <c r="P109" s="4"/>
      <c r="Q109" s="4"/>
    </row>
    <row r="110" ht="15.75" customHeight="1">
      <c r="A110" s="4"/>
      <c r="B110" s="3"/>
      <c r="C110" s="3"/>
      <c r="D110" s="4"/>
      <c r="E110" s="4"/>
      <c r="F110" s="4"/>
      <c r="G110" s="4"/>
      <c r="H110" s="5"/>
      <c r="I110" s="5"/>
      <c r="J110" s="4"/>
      <c r="K110" s="4"/>
      <c r="L110" s="40"/>
      <c r="M110" s="4"/>
      <c r="N110" s="3"/>
      <c r="O110" s="4"/>
      <c r="P110" s="4"/>
      <c r="Q110" s="4"/>
    </row>
    <row r="111" ht="15.75" customHeight="1">
      <c r="A111" s="4"/>
      <c r="B111" s="3"/>
      <c r="C111" s="3"/>
      <c r="D111" s="4"/>
      <c r="E111" s="4"/>
      <c r="F111" s="4"/>
      <c r="G111" s="4"/>
      <c r="H111" s="5"/>
      <c r="I111" s="5"/>
      <c r="J111" s="4"/>
      <c r="K111" s="4"/>
      <c r="L111" s="40"/>
      <c r="M111" s="4"/>
      <c r="N111" s="3"/>
      <c r="O111" s="4"/>
      <c r="P111" s="4"/>
      <c r="Q111" s="4"/>
    </row>
    <row r="112" ht="15.75" customHeight="1">
      <c r="A112" s="4"/>
      <c r="B112" s="3"/>
      <c r="C112" s="3"/>
      <c r="D112" s="4"/>
      <c r="E112" s="4"/>
      <c r="F112" s="4"/>
      <c r="G112" s="4"/>
      <c r="H112" s="5"/>
      <c r="I112" s="5"/>
      <c r="J112" s="4"/>
      <c r="K112" s="4"/>
      <c r="L112" s="40"/>
      <c r="M112" s="4"/>
      <c r="N112" s="3"/>
      <c r="O112" s="4"/>
      <c r="P112" s="4"/>
      <c r="Q112" s="4"/>
    </row>
    <row r="113" ht="15.75" customHeight="1">
      <c r="A113" s="4"/>
      <c r="B113" s="3"/>
      <c r="C113" s="3"/>
      <c r="D113" s="4"/>
      <c r="E113" s="4"/>
      <c r="F113" s="4"/>
      <c r="G113" s="4"/>
      <c r="H113" s="5"/>
      <c r="I113" s="5"/>
      <c r="J113" s="4"/>
      <c r="K113" s="4"/>
      <c r="L113" s="40"/>
      <c r="M113" s="4"/>
      <c r="N113" s="3"/>
      <c r="O113" s="4"/>
      <c r="P113" s="4"/>
      <c r="Q113" s="4"/>
    </row>
    <row r="114" ht="15.75" customHeight="1">
      <c r="A114" s="4"/>
      <c r="B114" s="3"/>
      <c r="C114" s="3"/>
      <c r="D114" s="4"/>
      <c r="E114" s="4"/>
      <c r="F114" s="4"/>
      <c r="G114" s="4"/>
      <c r="H114" s="5"/>
      <c r="I114" s="5"/>
      <c r="J114" s="4"/>
      <c r="K114" s="4"/>
      <c r="L114" s="40"/>
      <c r="M114" s="4"/>
      <c r="N114" s="3"/>
      <c r="O114" s="4"/>
      <c r="P114" s="4"/>
      <c r="Q114" s="4"/>
    </row>
    <row r="115" ht="15.75" customHeight="1">
      <c r="A115" s="4"/>
      <c r="B115" s="3"/>
      <c r="C115" s="3"/>
      <c r="D115" s="4"/>
      <c r="E115" s="4"/>
      <c r="F115" s="4"/>
      <c r="G115" s="4"/>
      <c r="H115" s="5"/>
      <c r="I115" s="5"/>
      <c r="J115" s="4"/>
      <c r="K115" s="4"/>
      <c r="L115" s="40"/>
      <c r="M115" s="4"/>
      <c r="N115" s="3"/>
      <c r="O115" s="4"/>
      <c r="P115" s="4"/>
      <c r="Q115" s="4"/>
    </row>
    <row r="116" ht="15.75" customHeight="1">
      <c r="A116" s="4"/>
      <c r="B116" s="3"/>
      <c r="C116" s="3"/>
      <c r="D116" s="4"/>
      <c r="E116" s="4"/>
      <c r="F116" s="4"/>
      <c r="G116" s="4"/>
      <c r="H116" s="5"/>
      <c r="I116" s="5"/>
      <c r="J116" s="4"/>
      <c r="K116" s="4"/>
      <c r="L116" s="40"/>
      <c r="M116" s="4"/>
      <c r="N116" s="3"/>
      <c r="O116" s="4"/>
      <c r="P116" s="4"/>
      <c r="Q116" s="4"/>
    </row>
    <row r="117" ht="15.75" customHeight="1">
      <c r="A117" s="4"/>
      <c r="B117" s="3"/>
      <c r="C117" s="3"/>
      <c r="D117" s="4"/>
      <c r="E117" s="4"/>
      <c r="F117" s="4"/>
      <c r="G117" s="4"/>
      <c r="H117" s="5"/>
      <c r="I117" s="5"/>
      <c r="J117" s="4"/>
      <c r="K117" s="4"/>
      <c r="L117" s="40"/>
      <c r="M117" s="4"/>
      <c r="N117" s="3"/>
      <c r="O117" s="4"/>
      <c r="P117" s="4"/>
      <c r="Q117" s="4"/>
    </row>
    <row r="118" ht="15.75" customHeight="1">
      <c r="A118" s="4"/>
      <c r="B118" s="3"/>
      <c r="C118" s="3"/>
      <c r="D118" s="4"/>
      <c r="E118" s="4"/>
      <c r="F118" s="4"/>
      <c r="G118" s="4"/>
      <c r="H118" s="5"/>
      <c r="I118" s="5"/>
      <c r="J118" s="4"/>
      <c r="K118" s="4"/>
      <c r="L118" s="40"/>
      <c r="M118" s="4"/>
      <c r="N118" s="3"/>
      <c r="O118" s="4"/>
      <c r="P118" s="4"/>
      <c r="Q118" s="4"/>
    </row>
    <row r="119" ht="15.75" customHeight="1">
      <c r="A119" s="4"/>
      <c r="B119" s="3"/>
      <c r="C119" s="3"/>
      <c r="D119" s="4"/>
      <c r="E119" s="4"/>
      <c r="F119" s="4"/>
      <c r="G119" s="4"/>
      <c r="H119" s="5"/>
      <c r="I119" s="5"/>
      <c r="J119" s="4"/>
      <c r="K119" s="4"/>
      <c r="L119" s="40"/>
      <c r="M119" s="4"/>
      <c r="N119" s="3"/>
      <c r="O119" s="4"/>
      <c r="P119" s="4"/>
      <c r="Q119" s="4"/>
    </row>
    <row r="120" ht="15.75" customHeight="1">
      <c r="A120" s="4"/>
      <c r="B120" s="3"/>
      <c r="C120" s="3"/>
      <c r="D120" s="4"/>
      <c r="E120" s="4"/>
      <c r="F120" s="4"/>
      <c r="G120" s="4"/>
      <c r="H120" s="5"/>
      <c r="I120" s="5"/>
      <c r="J120" s="4"/>
      <c r="K120" s="4"/>
      <c r="L120" s="40"/>
      <c r="M120" s="4"/>
      <c r="N120" s="3"/>
      <c r="O120" s="4"/>
      <c r="P120" s="4"/>
      <c r="Q120" s="4"/>
    </row>
    <row r="121" ht="15.75" customHeight="1">
      <c r="A121" s="4"/>
      <c r="B121" s="3"/>
      <c r="C121" s="3"/>
      <c r="D121" s="4"/>
      <c r="E121" s="4"/>
      <c r="F121" s="4"/>
      <c r="G121" s="4"/>
      <c r="H121" s="5"/>
      <c r="I121" s="5"/>
      <c r="J121" s="4"/>
      <c r="K121" s="4"/>
      <c r="L121" s="40"/>
      <c r="M121" s="4"/>
      <c r="N121" s="3"/>
      <c r="O121" s="4"/>
      <c r="P121" s="4"/>
      <c r="Q121" s="4"/>
    </row>
    <row r="122" ht="15.75" customHeight="1">
      <c r="A122" s="4"/>
      <c r="B122" s="3"/>
      <c r="C122" s="3"/>
      <c r="D122" s="4"/>
      <c r="E122" s="4"/>
      <c r="F122" s="4"/>
      <c r="G122" s="4"/>
      <c r="H122" s="5"/>
      <c r="I122" s="5"/>
      <c r="J122" s="4"/>
      <c r="K122" s="4"/>
      <c r="L122" s="40"/>
      <c r="M122" s="4"/>
      <c r="N122" s="3"/>
      <c r="O122" s="4"/>
      <c r="P122" s="4"/>
      <c r="Q122" s="4"/>
    </row>
    <row r="123" ht="15.75" customHeight="1">
      <c r="A123" s="4"/>
      <c r="B123" s="3"/>
      <c r="C123" s="3"/>
      <c r="D123" s="4"/>
      <c r="E123" s="4"/>
      <c r="F123" s="4"/>
      <c r="G123" s="4"/>
      <c r="H123" s="5"/>
      <c r="I123" s="5"/>
      <c r="J123" s="4"/>
      <c r="K123" s="4"/>
      <c r="L123" s="40"/>
      <c r="M123" s="4"/>
      <c r="N123" s="3"/>
      <c r="O123" s="4"/>
      <c r="P123" s="4"/>
      <c r="Q123" s="4"/>
    </row>
    <row r="124" ht="15.75" customHeight="1">
      <c r="A124" s="4"/>
      <c r="B124" s="3"/>
      <c r="C124" s="3"/>
      <c r="D124" s="4"/>
      <c r="E124" s="4"/>
      <c r="F124" s="4"/>
      <c r="G124" s="4"/>
      <c r="H124" s="5"/>
      <c r="I124" s="5"/>
      <c r="J124" s="4"/>
      <c r="K124" s="4"/>
      <c r="L124" s="40"/>
      <c r="M124" s="4"/>
      <c r="N124" s="3"/>
      <c r="O124" s="4"/>
      <c r="P124" s="4"/>
      <c r="Q124" s="4"/>
    </row>
    <row r="125" ht="15.75" customHeight="1">
      <c r="A125" s="4"/>
      <c r="B125" s="3"/>
      <c r="C125" s="3"/>
      <c r="D125" s="4"/>
      <c r="E125" s="4"/>
      <c r="F125" s="4"/>
      <c r="G125" s="4"/>
      <c r="H125" s="5"/>
      <c r="I125" s="5"/>
      <c r="J125" s="4"/>
      <c r="K125" s="4"/>
      <c r="L125" s="40"/>
      <c r="M125" s="4"/>
      <c r="N125" s="3"/>
      <c r="O125" s="4"/>
      <c r="P125" s="4"/>
      <c r="Q125" s="4"/>
    </row>
    <row r="126" ht="15.75" customHeight="1">
      <c r="A126" s="4"/>
      <c r="B126" s="3"/>
      <c r="C126" s="3"/>
      <c r="D126" s="4"/>
      <c r="E126" s="4"/>
      <c r="F126" s="4"/>
      <c r="G126" s="4"/>
      <c r="H126" s="5"/>
      <c r="I126" s="5"/>
      <c r="J126" s="4"/>
      <c r="K126" s="4"/>
      <c r="L126" s="40"/>
      <c r="M126" s="4"/>
      <c r="N126" s="3"/>
      <c r="O126" s="4"/>
      <c r="P126" s="4"/>
      <c r="Q126" s="4"/>
    </row>
    <row r="127" ht="15.75" customHeight="1">
      <c r="A127" s="4"/>
      <c r="B127" s="3"/>
      <c r="C127" s="3"/>
      <c r="D127" s="4"/>
      <c r="E127" s="4"/>
      <c r="F127" s="4"/>
      <c r="G127" s="4"/>
      <c r="H127" s="5"/>
      <c r="I127" s="5"/>
      <c r="J127" s="4"/>
      <c r="K127" s="4"/>
      <c r="L127" s="40"/>
      <c r="M127" s="4"/>
      <c r="N127" s="3"/>
      <c r="O127" s="4"/>
      <c r="P127" s="4"/>
      <c r="Q127" s="4"/>
    </row>
    <row r="128" ht="15.75" customHeight="1">
      <c r="A128" s="4"/>
      <c r="B128" s="3"/>
      <c r="C128" s="3"/>
      <c r="D128" s="4"/>
      <c r="E128" s="4"/>
      <c r="F128" s="4"/>
      <c r="G128" s="4"/>
      <c r="H128" s="5"/>
      <c r="I128" s="5"/>
      <c r="J128" s="4"/>
      <c r="K128" s="4"/>
      <c r="L128" s="40"/>
      <c r="M128" s="4"/>
      <c r="N128" s="3"/>
      <c r="O128" s="4"/>
      <c r="P128" s="4"/>
      <c r="Q128" s="4"/>
    </row>
    <row r="129" ht="15.75" customHeight="1">
      <c r="A129" s="4"/>
      <c r="B129" s="3"/>
      <c r="C129" s="3"/>
      <c r="D129" s="4"/>
      <c r="E129" s="4"/>
      <c r="F129" s="4"/>
      <c r="G129" s="4"/>
      <c r="H129" s="5"/>
      <c r="I129" s="5"/>
      <c r="J129" s="4"/>
      <c r="K129" s="4"/>
      <c r="L129" s="40"/>
      <c r="M129" s="4"/>
      <c r="N129" s="3"/>
      <c r="O129" s="4"/>
      <c r="P129" s="4"/>
      <c r="Q129" s="4"/>
    </row>
    <row r="130" ht="15.75" customHeight="1">
      <c r="A130" s="4"/>
      <c r="B130" s="3"/>
      <c r="C130" s="3"/>
      <c r="D130" s="4"/>
      <c r="E130" s="4"/>
      <c r="F130" s="4"/>
      <c r="G130" s="4"/>
      <c r="H130" s="5"/>
      <c r="I130" s="5"/>
      <c r="J130" s="4"/>
      <c r="K130" s="4"/>
      <c r="L130" s="40"/>
      <c r="M130" s="4"/>
      <c r="N130" s="3"/>
      <c r="O130" s="4"/>
      <c r="P130" s="4"/>
      <c r="Q130" s="4"/>
    </row>
    <row r="131" ht="15.75" customHeight="1">
      <c r="A131" s="4"/>
      <c r="B131" s="3"/>
      <c r="C131" s="3"/>
      <c r="D131" s="4"/>
      <c r="E131" s="4"/>
      <c r="F131" s="4"/>
      <c r="G131" s="4"/>
      <c r="H131" s="5"/>
      <c r="I131" s="5"/>
      <c r="J131" s="4"/>
      <c r="K131" s="4"/>
      <c r="L131" s="40"/>
      <c r="M131" s="4"/>
      <c r="N131" s="3"/>
      <c r="O131" s="4"/>
      <c r="P131" s="4"/>
      <c r="Q131" s="4"/>
    </row>
    <row r="132" ht="15.75" customHeight="1">
      <c r="A132" s="4"/>
      <c r="B132" s="3"/>
      <c r="C132" s="3"/>
      <c r="D132" s="4"/>
      <c r="E132" s="4"/>
      <c r="F132" s="4"/>
      <c r="G132" s="4"/>
      <c r="H132" s="5"/>
      <c r="I132" s="5"/>
      <c r="J132" s="4"/>
      <c r="K132" s="4"/>
      <c r="L132" s="40"/>
      <c r="M132" s="4"/>
      <c r="N132" s="3"/>
      <c r="O132" s="4"/>
      <c r="P132" s="4"/>
      <c r="Q132" s="4"/>
    </row>
    <row r="133" ht="15.75" customHeight="1">
      <c r="A133" s="4"/>
      <c r="B133" s="3"/>
      <c r="C133" s="3"/>
      <c r="D133" s="4"/>
      <c r="E133" s="4"/>
      <c r="F133" s="4"/>
      <c r="G133" s="4"/>
      <c r="H133" s="5"/>
      <c r="I133" s="5"/>
      <c r="J133" s="4"/>
      <c r="K133" s="4"/>
      <c r="L133" s="40"/>
      <c r="M133" s="4"/>
      <c r="N133" s="3"/>
      <c r="O133" s="4"/>
      <c r="P133" s="4"/>
      <c r="Q133" s="4"/>
    </row>
    <row r="134" ht="15.75" customHeight="1">
      <c r="A134" s="4"/>
      <c r="B134" s="3"/>
      <c r="C134" s="3"/>
      <c r="D134" s="4"/>
      <c r="E134" s="4"/>
      <c r="F134" s="4"/>
      <c r="G134" s="4"/>
      <c r="H134" s="5"/>
      <c r="I134" s="5"/>
      <c r="J134" s="4"/>
      <c r="K134" s="4"/>
      <c r="L134" s="40"/>
      <c r="M134" s="4"/>
      <c r="N134" s="3"/>
      <c r="O134" s="4"/>
      <c r="P134" s="4"/>
      <c r="Q134" s="4"/>
    </row>
    <row r="135" ht="15.75" customHeight="1">
      <c r="A135" s="4"/>
      <c r="B135" s="3"/>
      <c r="C135" s="3"/>
      <c r="D135" s="4"/>
      <c r="E135" s="4"/>
      <c r="F135" s="4"/>
      <c r="G135" s="4"/>
      <c r="H135" s="5"/>
      <c r="I135" s="5"/>
      <c r="J135" s="4"/>
      <c r="K135" s="4"/>
      <c r="L135" s="40"/>
      <c r="M135" s="4"/>
      <c r="N135" s="3"/>
      <c r="O135" s="4"/>
      <c r="P135" s="4"/>
      <c r="Q135" s="4"/>
    </row>
    <row r="136" ht="15.75" customHeight="1">
      <c r="A136" s="4"/>
      <c r="B136" s="3"/>
      <c r="C136" s="3"/>
      <c r="D136" s="4"/>
      <c r="E136" s="4"/>
      <c r="F136" s="4"/>
      <c r="G136" s="4"/>
      <c r="H136" s="5"/>
      <c r="I136" s="5"/>
      <c r="J136" s="4"/>
      <c r="K136" s="4"/>
      <c r="L136" s="40"/>
      <c r="M136" s="4"/>
      <c r="N136" s="3"/>
      <c r="O136" s="4"/>
      <c r="P136" s="4"/>
      <c r="Q136" s="4"/>
    </row>
    <row r="137" ht="15.75" customHeight="1">
      <c r="A137" s="4"/>
      <c r="B137" s="3"/>
      <c r="C137" s="3"/>
      <c r="D137" s="4"/>
      <c r="E137" s="4"/>
      <c r="F137" s="4"/>
      <c r="G137" s="4"/>
      <c r="H137" s="5"/>
      <c r="I137" s="5"/>
      <c r="J137" s="4"/>
      <c r="K137" s="4"/>
      <c r="L137" s="40"/>
      <c r="M137" s="4"/>
      <c r="N137" s="3"/>
      <c r="O137" s="4"/>
      <c r="P137" s="4"/>
      <c r="Q137" s="4"/>
    </row>
    <row r="138" ht="15.75" customHeight="1">
      <c r="A138" s="4"/>
      <c r="B138" s="3"/>
      <c r="C138" s="3"/>
      <c r="D138" s="4"/>
      <c r="E138" s="4"/>
      <c r="F138" s="4"/>
      <c r="G138" s="4"/>
      <c r="H138" s="5"/>
      <c r="I138" s="5"/>
      <c r="J138" s="4"/>
      <c r="K138" s="4"/>
      <c r="L138" s="40"/>
      <c r="M138" s="4"/>
      <c r="N138" s="3"/>
      <c r="O138" s="4"/>
      <c r="P138" s="4"/>
      <c r="Q138" s="4"/>
    </row>
    <row r="139" ht="15.75" customHeight="1">
      <c r="A139" s="4"/>
      <c r="B139" s="3"/>
      <c r="C139" s="3"/>
      <c r="D139" s="4"/>
      <c r="E139" s="4"/>
      <c r="F139" s="4"/>
      <c r="G139" s="4"/>
      <c r="H139" s="5"/>
      <c r="I139" s="5"/>
      <c r="J139" s="4"/>
      <c r="K139" s="4"/>
      <c r="L139" s="40"/>
      <c r="M139" s="4"/>
      <c r="N139" s="3"/>
      <c r="O139" s="4"/>
      <c r="P139" s="4"/>
      <c r="Q139" s="4"/>
    </row>
    <row r="140" ht="15.75" customHeight="1">
      <c r="A140" s="4"/>
      <c r="B140" s="3"/>
      <c r="C140" s="3"/>
      <c r="D140" s="4"/>
      <c r="E140" s="4"/>
      <c r="F140" s="4"/>
      <c r="G140" s="4"/>
      <c r="H140" s="5"/>
      <c r="I140" s="5"/>
      <c r="J140" s="4"/>
      <c r="K140" s="4"/>
      <c r="L140" s="40"/>
      <c r="M140" s="4"/>
      <c r="N140" s="3"/>
      <c r="O140" s="4"/>
      <c r="P140" s="4"/>
      <c r="Q140" s="4"/>
    </row>
    <row r="141" ht="15.75" customHeight="1">
      <c r="A141" s="4"/>
      <c r="B141" s="3"/>
      <c r="C141" s="3"/>
      <c r="D141" s="4"/>
      <c r="E141" s="4"/>
      <c r="F141" s="4"/>
      <c r="G141" s="4"/>
      <c r="H141" s="5"/>
      <c r="I141" s="5"/>
      <c r="J141" s="4"/>
      <c r="K141" s="4"/>
      <c r="L141" s="40"/>
      <c r="M141" s="4"/>
      <c r="N141" s="3"/>
      <c r="O141" s="4"/>
      <c r="P141" s="4"/>
      <c r="Q141" s="4"/>
    </row>
    <row r="142" ht="15.75" customHeight="1">
      <c r="A142" s="4"/>
      <c r="B142" s="3"/>
      <c r="C142" s="3"/>
      <c r="D142" s="4"/>
      <c r="E142" s="4"/>
      <c r="F142" s="4"/>
      <c r="G142" s="4"/>
      <c r="H142" s="5"/>
      <c r="I142" s="5"/>
      <c r="J142" s="4"/>
      <c r="K142" s="4"/>
      <c r="L142" s="40"/>
      <c r="M142" s="4"/>
      <c r="N142" s="3"/>
      <c r="O142" s="4"/>
      <c r="P142" s="4"/>
      <c r="Q142" s="4"/>
    </row>
    <row r="143" ht="15.75" customHeight="1">
      <c r="A143" s="4"/>
      <c r="B143" s="3"/>
      <c r="C143" s="3"/>
      <c r="D143" s="4"/>
      <c r="E143" s="4"/>
      <c r="F143" s="4"/>
      <c r="G143" s="4"/>
      <c r="H143" s="5"/>
      <c r="I143" s="5"/>
      <c r="J143" s="4"/>
      <c r="K143" s="4"/>
      <c r="L143" s="40"/>
      <c r="M143" s="4"/>
      <c r="N143" s="3"/>
      <c r="O143" s="4"/>
      <c r="P143" s="4"/>
      <c r="Q143" s="4"/>
    </row>
    <row r="144" ht="15.75" customHeight="1">
      <c r="A144" s="4"/>
      <c r="B144" s="3"/>
      <c r="C144" s="3"/>
      <c r="D144" s="4"/>
      <c r="E144" s="4"/>
      <c r="F144" s="4"/>
      <c r="G144" s="4"/>
      <c r="H144" s="5"/>
      <c r="I144" s="5"/>
      <c r="J144" s="4"/>
      <c r="K144" s="4"/>
      <c r="L144" s="40"/>
      <c r="M144" s="4"/>
      <c r="N144" s="3"/>
      <c r="O144" s="4"/>
      <c r="P144" s="4"/>
      <c r="Q144" s="4"/>
    </row>
    <row r="145" ht="15.75" customHeight="1">
      <c r="A145" s="4"/>
      <c r="B145" s="3"/>
      <c r="C145" s="3"/>
      <c r="D145" s="4"/>
      <c r="E145" s="4"/>
      <c r="F145" s="4"/>
      <c r="G145" s="4"/>
      <c r="H145" s="5"/>
      <c r="I145" s="5"/>
      <c r="J145" s="4"/>
      <c r="K145" s="4"/>
      <c r="L145" s="40"/>
      <c r="M145" s="4"/>
      <c r="N145" s="3"/>
      <c r="O145" s="4"/>
      <c r="P145" s="4"/>
      <c r="Q145" s="4"/>
    </row>
    <row r="146" ht="15.75" customHeight="1">
      <c r="A146" s="4"/>
      <c r="B146" s="3"/>
      <c r="C146" s="3"/>
      <c r="D146" s="4"/>
      <c r="E146" s="4"/>
      <c r="F146" s="4"/>
      <c r="G146" s="4"/>
      <c r="H146" s="5"/>
      <c r="I146" s="5"/>
      <c r="J146" s="4"/>
      <c r="K146" s="4"/>
      <c r="L146" s="40"/>
      <c r="M146" s="4"/>
      <c r="N146" s="3"/>
      <c r="O146" s="4"/>
      <c r="P146" s="4"/>
      <c r="Q146" s="4"/>
    </row>
    <row r="147" ht="15.75" customHeight="1">
      <c r="A147" s="4"/>
      <c r="B147" s="3"/>
      <c r="C147" s="3"/>
      <c r="D147" s="4"/>
      <c r="E147" s="4"/>
      <c r="F147" s="4"/>
      <c r="G147" s="4"/>
      <c r="H147" s="5"/>
      <c r="I147" s="5"/>
      <c r="J147" s="4"/>
      <c r="K147" s="4"/>
      <c r="L147" s="40"/>
      <c r="M147" s="4"/>
      <c r="N147" s="3"/>
      <c r="O147" s="4"/>
      <c r="P147" s="4"/>
      <c r="Q147" s="4"/>
    </row>
    <row r="148" ht="15.75" customHeight="1">
      <c r="A148" s="4"/>
      <c r="B148" s="3"/>
      <c r="C148" s="3"/>
      <c r="D148" s="4"/>
      <c r="E148" s="4"/>
      <c r="F148" s="4"/>
      <c r="G148" s="4"/>
      <c r="H148" s="5"/>
      <c r="I148" s="5"/>
      <c r="J148" s="4"/>
      <c r="K148" s="4"/>
      <c r="L148" s="40"/>
      <c r="M148" s="4"/>
      <c r="N148" s="3"/>
      <c r="O148" s="4"/>
      <c r="P148" s="4"/>
      <c r="Q148" s="4"/>
    </row>
    <row r="149" ht="15.75" customHeight="1">
      <c r="A149" s="4"/>
      <c r="B149" s="3"/>
      <c r="C149" s="3"/>
      <c r="D149" s="4"/>
      <c r="E149" s="4"/>
      <c r="F149" s="4"/>
      <c r="G149" s="4"/>
      <c r="H149" s="5"/>
      <c r="I149" s="5"/>
      <c r="J149" s="4"/>
      <c r="K149" s="4"/>
      <c r="L149" s="40"/>
      <c r="M149" s="4"/>
      <c r="N149" s="3"/>
      <c r="O149" s="4"/>
      <c r="P149" s="4"/>
      <c r="Q149" s="4"/>
    </row>
    <row r="150" ht="15.75" customHeight="1">
      <c r="A150" s="4"/>
      <c r="B150" s="3"/>
      <c r="C150" s="3"/>
      <c r="D150" s="4"/>
      <c r="E150" s="4"/>
      <c r="F150" s="4"/>
      <c r="G150" s="4"/>
      <c r="H150" s="5"/>
      <c r="I150" s="5"/>
      <c r="J150" s="4"/>
      <c r="K150" s="4"/>
      <c r="L150" s="40"/>
      <c r="M150" s="4"/>
      <c r="N150" s="3"/>
      <c r="O150" s="4"/>
      <c r="P150" s="4"/>
      <c r="Q150" s="4"/>
    </row>
    <row r="151" ht="15.75" customHeight="1">
      <c r="A151" s="4"/>
      <c r="B151" s="3"/>
      <c r="C151" s="3"/>
      <c r="D151" s="4"/>
      <c r="E151" s="4"/>
      <c r="F151" s="4"/>
      <c r="G151" s="4"/>
      <c r="H151" s="5"/>
      <c r="I151" s="5"/>
      <c r="J151" s="4"/>
      <c r="K151" s="4"/>
      <c r="L151" s="40"/>
      <c r="M151" s="4"/>
      <c r="N151" s="3"/>
      <c r="O151" s="4"/>
      <c r="P151" s="4"/>
      <c r="Q151" s="4"/>
    </row>
    <row r="152" ht="15.75" customHeight="1">
      <c r="A152" s="4"/>
      <c r="B152" s="3"/>
      <c r="C152" s="3"/>
      <c r="D152" s="4"/>
      <c r="E152" s="4"/>
      <c r="F152" s="4"/>
      <c r="G152" s="4"/>
      <c r="H152" s="5"/>
      <c r="I152" s="5"/>
      <c r="J152" s="4"/>
      <c r="K152" s="4"/>
      <c r="L152" s="40"/>
      <c r="M152" s="4"/>
      <c r="N152" s="3"/>
      <c r="O152" s="4"/>
      <c r="P152" s="4"/>
      <c r="Q152" s="4"/>
    </row>
    <row r="153" ht="15.75" customHeight="1">
      <c r="A153" s="4"/>
      <c r="B153" s="3"/>
      <c r="C153" s="3"/>
      <c r="D153" s="4"/>
      <c r="E153" s="4"/>
      <c r="F153" s="4"/>
      <c r="G153" s="4"/>
      <c r="H153" s="5"/>
      <c r="I153" s="5"/>
      <c r="J153" s="4"/>
      <c r="K153" s="4"/>
      <c r="L153" s="40"/>
      <c r="M153" s="4"/>
      <c r="N153" s="3"/>
      <c r="O153" s="4"/>
      <c r="P153" s="4"/>
      <c r="Q153" s="4"/>
    </row>
    <row r="154" ht="15.75" customHeight="1">
      <c r="A154" s="4"/>
      <c r="B154" s="3"/>
      <c r="C154" s="3"/>
      <c r="D154" s="4"/>
      <c r="E154" s="4"/>
      <c r="F154" s="4"/>
      <c r="G154" s="4"/>
      <c r="H154" s="5"/>
      <c r="I154" s="5"/>
      <c r="J154" s="4"/>
      <c r="K154" s="4"/>
      <c r="L154" s="40"/>
      <c r="M154" s="4"/>
      <c r="N154" s="3"/>
      <c r="O154" s="4"/>
      <c r="P154" s="4"/>
      <c r="Q154" s="4"/>
    </row>
    <row r="155" ht="15.75" customHeight="1">
      <c r="A155" s="4"/>
      <c r="B155" s="3"/>
      <c r="C155" s="3"/>
      <c r="D155" s="4"/>
      <c r="E155" s="4"/>
      <c r="F155" s="4"/>
      <c r="G155" s="4"/>
      <c r="H155" s="5"/>
      <c r="I155" s="5"/>
      <c r="J155" s="4"/>
      <c r="K155" s="4"/>
      <c r="L155" s="40"/>
      <c r="M155" s="4"/>
      <c r="N155" s="3"/>
      <c r="O155" s="4"/>
      <c r="P155" s="4"/>
      <c r="Q155" s="4"/>
    </row>
    <row r="156" ht="15.75" customHeight="1">
      <c r="A156" s="4"/>
      <c r="B156" s="3"/>
      <c r="C156" s="3"/>
      <c r="D156" s="4"/>
      <c r="E156" s="4"/>
      <c r="F156" s="4"/>
      <c r="G156" s="4"/>
      <c r="H156" s="5"/>
      <c r="I156" s="5"/>
      <c r="J156" s="4"/>
      <c r="K156" s="4"/>
      <c r="L156" s="40"/>
      <c r="M156" s="4"/>
      <c r="N156" s="3"/>
      <c r="O156" s="4"/>
      <c r="P156" s="4"/>
      <c r="Q156" s="4"/>
    </row>
    <row r="157" ht="15.75" customHeight="1">
      <c r="A157" s="4"/>
      <c r="B157" s="3"/>
      <c r="C157" s="3"/>
      <c r="D157" s="4"/>
      <c r="E157" s="4"/>
      <c r="F157" s="4"/>
      <c r="G157" s="4"/>
      <c r="H157" s="5"/>
      <c r="I157" s="5"/>
      <c r="J157" s="4"/>
      <c r="K157" s="4"/>
      <c r="L157" s="40"/>
      <c r="M157" s="4"/>
      <c r="N157" s="3"/>
      <c r="O157" s="4"/>
      <c r="P157" s="4"/>
      <c r="Q157" s="4"/>
    </row>
    <row r="158" ht="15.75" customHeight="1">
      <c r="A158" s="4"/>
      <c r="B158" s="3"/>
      <c r="C158" s="3"/>
      <c r="D158" s="4"/>
      <c r="E158" s="4"/>
      <c r="F158" s="4"/>
      <c r="G158" s="4"/>
      <c r="H158" s="5"/>
      <c r="I158" s="5"/>
      <c r="J158" s="4"/>
      <c r="K158" s="4"/>
      <c r="L158" s="40"/>
      <c r="M158" s="4"/>
      <c r="N158" s="3"/>
      <c r="O158" s="4"/>
      <c r="P158" s="4"/>
      <c r="Q158" s="4"/>
    </row>
    <row r="159" ht="15.75" customHeight="1">
      <c r="A159" s="4"/>
      <c r="B159" s="3"/>
      <c r="C159" s="3"/>
      <c r="D159" s="4"/>
      <c r="E159" s="4"/>
      <c r="F159" s="4"/>
      <c r="G159" s="4"/>
      <c r="H159" s="5"/>
      <c r="I159" s="5"/>
      <c r="J159" s="4"/>
      <c r="K159" s="4"/>
      <c r="L159" s="40"/>
      <c r="M159" s="4"/>
      <c r="N159" s="3"/>
      <c r="O159" s="4"/>
      <c r="P159" s="4"/>
      <c r="Q159" s="4"/>
    </row>
    <row r="160" ht="15.75" customHeight="1">
      <c r="A160" s="4"/>
      <c r="B160" s="3"/>
      <c r="C160" s="3"/>
      <c r="D160" s="4"/>
      <c r="E160" s="4"/>
      <c r="F160" s="4"/>
      <c r="G160" s="4"/>
      <c r="H160" s="5"/>
      <c r="I160" s="5"/>
      <c r="J160" s="4"/>
      <c r="K160" s="4"/>
      <c r="L160" s="40"/>
      <c r="M160" s="4"/>
      <c r="N160" s="3"/>
      <c r="O160" s="4"/>
      <c r="P160" s="4"/>
      <c r="Q160" s="4"/>
    </row>
    <row r="161" ht="15.75" customHeight="1">
      <c r="A161" s="4"/>
      <c r="B161" s="3"/>
      <c r="C161" s="3"/>
      <c r="D161" s="4"/>
      <c r="E161" s="4"/>
      <c r="F161" s="4"/>
      <c r="G161" s="4"/>
      <c r="H161" s="5"/>
      <c r="I161" s="5"/>
      <c r="J161" s="4"/>
      <c r="K161" s="4"/>
      <c r="L161" s="40"/>
      <c r="M161" s="4"/>
      <c r="N161" s="3"/>
      <c r="O161" s="4"/>
      <c r="P161" s="4"/>
      <c r="Q161" s="4"/>
    </row>
    <row r="162" ht="15.75" customHeight="1">
      <c r="A162" s="4"/>
      <c r="B162" s="3"/>
      <c r="C162" s="3"/>
      <c r="D162" s="4"/>
      <c r="E162" s="4"/>
      <c r="F162" s="4"/>
      <c r="G162" s="4"/>
      <c r="H162" s="5"/>
      <c r="I162" s="5"/>
      <c r="J162" s="4"/>
      <c r="K162" s="4"/>
      <c r="L162" s="40"/>
      <c r="M162" s="4"/>
      <c r="N162" s="3"/>
      <c r="O162" s="4"/>
      <c r="P162" s="4"/>
      <c r="Q162" s="4"/>
    </row>
    <row r="163" ht="15.75" customHeight="1">
      <c r="A163" s="4"/>
      <c r="B163" s="3"/>
      <c r="C163" s="3"/>
      <c r="D163" s="4"/>
      <c r="E163" s="4"/>
      <c r="F163" s="4"/>
      <c r="G163" s="4"/>
      <c r="H163" s="5"/>
      <c r="I163" s="5"/>
      <c r="J163" s="4"/>
      <c r="K163" s="4"/>
      <c r="L163" s="40"/>
      <c r="M163" s="4"/>
      <c r="N163" s="3"/>
      <c r="O163" s="4"/>
      <c r="P163" s="4"/>
      <c r="Q163" s="4"/>
    </row>
    <row r="164" ht="15.75" customHeight="1">
      <c r="A164" s="4"/>
      <c r="B164" s="3"/>
      <c r="C164" s="3"/>
      <c r="D164" s="4"/>
      <c r="E164" s="4"/>
      <c r="F164" s="4"/>
      <c r="G164" s="4"/>
      <c r="H164" s="5"/>
      <c r="I164" s="5"/>
      <c r="J164" s="4"/>
      <c r="K164" s="4"/>
      <c r="L164" s="40"/>
      <c r="M164" s="4"/>
      <c r="N164" s="3"/>
      <c r="O164" s="4"/>
      <c r="P164" s="4"/>
      <c r="Q164" s="4"/>
    </row>
    <row r="165" ht="15.75" customHeight="1">
      <c r="A165" s="4"/>
      <c r="B165" s="3"/>
      <c r="C165" s="3"/>
      <c r="D165" s="4"/>
      <c r="E165" s="4"/>
      <c r="F165" s="4"/>
      <c r="G165" s="4"/>
      <c r="H165" s="5"/>
      <c r="I165" s="5"/>
      <c r="J165" s="4"/>
      <c r="K165" s="4"/>
      <c r="L165" s="40"/>
      <c r="M165" s="4"/>
      <c r="N165" s="3"/>
      <c r="O165" s="4"/>
      <c r="P165" s="4"/>
      <c r="Q165" s="4"/>
    </row>
    <row r="166" ht="15.75" customHeight="1">
      <c r="A166" s="4"/>
      <c r="B166" s="3"/>
      <c r="C166" s="3"/>
      <c r="D166" s="4"/>
      <c r="E166" s="4"/>
      <c r="F166" s="4"/>
      <c r="G166" s="4"/>
      <c r="H166" s="5"/>
      <c r="I166" s="5"/>
      <c r="J166" s="4"/>
      <c r="K166" s="4"/>
      <c r="L166" s="40"/>
      <c r="M166" s="4"/>
      <c r="N166" s="3"/>
      <c r="O166" s="4"/>
      <c r="P166" s="4"/>
      <c r="Q166" s="4"/>
    </row>
    <row r="167" ht="15.75" customHeight="1">
      <c r="A167" s="4"/>
      <c r="B167" s="3"/>
      <c r="C167" s="3"/>
      <c r="D167" s="4"/>
      <c r="E167" s="4"/>
      <c r="F167" s="4"/>
      <c r="G167" s="4"/>
      <c r="H167" s="5"/>
      <c r="I167" s="5"/>
      <c r="J167" s="4"/>
      <c r="K167" s="4"/>
      <c r="L167" s="40"/>
      <c r="M167" s="4"/>
      <c r="N167" s="3"/>
      <c r="O167" s="4"/>
      <c r="P167" s="4"/>
      <c r="Q167" s="4"/>
    </row>
    <row r="168" ht="15.75" customHeight="1">
      <c r="A168" s="4"/>
      <c r="B168" s="3"/>
      <c r="C168" s="3"/>
      <c r="D168" s="4"/>
      <c r="E168" s="4"/>
      <c r="F168" s="4"/>
      <c r="G168" s="4"/>
      <c r="H168" s="5"/>
      <c r="I168" s="5"/>
      <c r="J168" s="4"/>
      <c r="K168" s="4"/>
      <c r="L168" s="40"/>
      <c r="M168" s="4"/>
      <c r="N168" s="3"/>
      <c r="O168" s="4"/>
      <c r="P168" s="4"/>
      <c r="Q168" s="4"/>
    </row>
    <row r="169" ht="15.75" customHeight="1">
      <c r="A169" s="4"/>
      <c r="B169" s="3"/>
      <c r="C169" s="3"/>
      <c r="D169" s="4"/>
      <c r="E169" s="4"/>
      <c r="F169" s="4"/>
      <c r="G169" s="4"/>
      <c r="H169" s="5"/>
      <c r="I169" s="5"/>
      <c r="J169" s="4"/>
      <c r="K169" s="4"/>
      <c r="L169" s="40"/>
      <c r="M169" s="4"/>
      <c r="N169" s="3"/>
      <c r="O169" s="4"/>
      <c r="P169" s="4"/>
      <c r="Q169" s="4"/>
    </row>
    <row r="170" ht="15.75" customHeight="1">
      <c r="A170" s="4"/>
      <c r="B170" s="3"/>
      <c r="C170" s="3"/>
      <c r="D170" s="4"/>
      <c r="E170" s="4"/>
      <c r="F170" s="4"/>
      <c r="G170" s="4"/>
      <c r="H170" s="5"/>
      <c r="I170" s="5"/>
      <c r="J170" s="4"/>
      <c r="K170" s="4"/>
      <c r="L170" s="40"/>
      <c r="M170" s="4"/>
      <c r="N170" s="3"/>
      <c r="O170" s="4"/>
      <c r="P170" s="4"/>
      <c r="Q170" s="4"/>
    </row>
    <row r="171" ht="15.75" customHeight="1">
      <c r="A171" s="4"/>
      <c r="B171" s="3"/>
      <c r="C171" s="3"/>
      <c r="D171" s="4"/>
      <c r="E171" s="4"/>
      <c r="F171" s="4"/>
      <c r="G171" s="4"/>
      <c r="H171" s="5"/>
      <c r="I171" s="5"/>
      <c r="J171" s="4"/>
      <c r="K171" s="4"/>
      <c r="L171" s="40"/>
      <c r="M171" s="4"/>
      <c r="N171" s="3"/>
      <c r="O171" s="4"/>
      <c r="P171" s="4"/>
      <c r="Q171" s="4"/>
    </row>
    <row r="172" ht="15.75" customHeight="1">
      <c r="A172" s="4"/>
      <c r="B172" s="3"/>
      <c r="C172" s="3"/>
      <c r="D172" s="4"/>
      <c r="E172" s="4"/>
      <c r="F172" s="4"/>
      <c r="G172" s="4"/>
      <c r="H172" s="5"/>
      <c r="I172" s="5"/>
      <c r="J172" s="4"/>
      <c r="K172" s="4"/>
      <c r="L172" s="40"/>
      <c r="M172" s="4"/>
      <c r="N172" s="3"/>
      <c r="O172" s="4"/>
      <c r="P172" s="4"/>
      <c r="Q172" s="4"/>
    </row>
    <row r="173" ht="15.75" customHeight="1">
      <c r="A173" s="4"/>
      <c r="B173" s="3"/>
      <c r="C173" s="3"/>
      <c r="D173" s="4"/>
      <c r="E173" s="4"/>
      <c r="F173" s="4"/>
      <c r="G173" s="4"/>
      <c r="H173" s="5"/>
      <c r="I173" s="5"/>
      <c r="J173" s="4"/>
      <c r="K173" s="4"/>
      <c r="L173" s="40"/>
      <c r="M173" s="4"/>
      <c r="N173" s="3"/>
      <c r="O173" s="4"/>
      <c r="P173" s="4"/>
      <c r="Q173" s="4"/>
    </row>
    <row r="174" ht="15.75" customHeight="1">
      <c r="A174" s="4"/>
      <c r="B174" s="3"/>
      <c r="C174" s="3"/>
      <c r="D174" s="4"/>
      <c r="E174" s="4"/>
      <c r="F174" s="4"/>
      <c r="G174" s="4"/>
      <c r="H174" s="5"/>
      <c r="I174" s="5"/>
      <c r="J174" s="4"/>
      <c r="K174" s="4"/>
      <c r="L174" s="40"/>
      <c r="M174" s="4"/>
      <c r="N174" s="3"/>
      <c r="O174" s="4"/>
      <c r="P174" s="4"/>
      <c r="Q174" s="4"/>
    </row>
    <row r="175" ht="15.75" customHeight="1">
      <c r="A175" s="4"/>
      <c r="B175" s="3"/>
      <c r="C175" s="3"/>
      <c r="D175" s="4"/>
      <c r="E175" s="4"/>
      <c r="F175" s="4"/>
      <c r="G175" s="4"/>
      <c r="H175" s="5"/>
      <c r="I175" s="5"/>
      <c r="J175" s="4"/>
      <c r="K175" s="4"/>
      <c r="L175" s="40"/>
      <c r="M175" s="4"/>
      <c r="N175" s="3"/>
      <c r="O175" s="4"/>
      <c r="P175" s="4"/>
      <c r="Q175" s="4"/>
    </row>
    <row r="176" ht="15.75" customHeight="1">
      <c r="A176" s="4"/>
      <c r="B176" s="3"/>
      <c r="C176" s="3"/>
      <c r="D176" s="4"/>
      <c r="E176" s="4"/>
      <c r="F176" s="4"/>
      <c r="G176" s="4"/>
      <c r="H176" s="5"/>
      <c r="I176" s="5"/>
      <c r="J176" s="4"/>
      <c r="K176" s="4"/>
      <c r="L176" s="40"/>
      <c r="M176" s="4"/>
      <c r="N176" s="3"/>
      <c r="O176" s="4"/>
      <c r="P176" s="4"/>
      <c r="Q176" s="4"/>
    </row>
    <row r="177" ht="15.75" customHeight="1">
      <c r="A177" s="4"/>
      <c r="B177" s="3"/>
      <c r="C177" s="3"/>
      <c r="D177" s="4"/>
      <c r="E177" s="4"/>
      <c r="F177" s="4"/>
      <c r="G177" s="4"/>
      <c r="H177" s="5"/>
      <c r="I177" s="5"/>
      <c r="J177" s="4"/>
      <c r="K177" s="4"/>
      <c r="L177" s="40"/>
      <c r="M177" s="4"/>
      <c r="N177" s="3"/>
      <c r="O177" s="4"/>
      <c r="P177" s="4"/>
      <c r="Q177" s="4"/>
    </row>
    <row r="178" ht="15.75" customHeight="1">
      <c r="A178" s="4"/>
      <c r="B178" s="3"/>
      <c r="C178" s="3"/>
      <c r="D178" s="4"/>
      <c r="E178" s="4"/>
      <c r="F178" s="4"/>
      <c r="G178" s="4"/>
      <c r="H178" s="5"/>
      <c r="I178" s="5"/>
      <c r="J178" s="4"/>
      <c r="K178" s="4"/>
      <c r="L178" s="40"/>
      <c r="M178" s="4"/>
      <c r="N178" s="3"/>
      <c r="O178" s="4"/>
      <c r="P178" s="4"/>
      <c r="Q178" s="4"/>
    </row>
    <row r="179" ht="15.75" customHeight="1">
      <c r="A179" s="4"/>
      <c r="B179" s="3"/>
      <c r="C179" s="3"/>
      <c r="D179" s="4"/>
      <c r="E179" s="4"/>
      <c r="F179" s="4"/>
      <c r="G179" s="4"/>
      <c r="H179" s="5"/>
      <c r="I179" s="5"/>
      <c r="J179" s="4"/>
      <c r="K179" s="4"/>
      <c r="L179" s="40"/>
      <c r="M179" s="4"/>
      <c r="N179" s="3"/>
      <c r="O179" s="4"/>
      <c r="P179" s="4"/>
      <c r="Q179" s="4"/>
    </row>
    <row r="180" ht="15.75" customHeight="1">
      <c r="A180" s="4"/>
      <c r="B180" s="3"/>
      <c r="C180" s="3"/>
      <c r="D180" s="4"/>
      <c r="E180" s="4"/>
      <c r="F180" s="4"/>
      <c r="G180" s="4"/>
      <c r="H180" s="5"/>
      <c r="I180" s="5"/>
      <c r="J180" s="4"/>
      <c r="K180" s="4"/>
      <c r="L180" s="40"/>
      <c r="M180" s="4"/>
      <c r="N180" s="3"/>
      <c r="O180" s="4"/>
      <c r="P180" s="4"/>
      <c r="Q180" s="4"/>
    </row>
    <row r="181" ht="15.75" customHeight="1">
      <c r="A181" s="4"/>
      <c r="B181" s="3"/>
      <c r="C181" s="3"/>
      <c r="D181" s="4"/>
      <c r="E181" s="4"/>
      <c r="F181" s="4"/>
      <c r="G181" s="4"/>
      <c r="H181" s="5"/>
      <c r="I181" s="5"/>
      <c r="J181" s="4"/>
      <c r="K181" s="4"/>
      <c r="L181" s="40"/>
      <c r="M181" s="4"/>
      <c r="N181" s="3"/>
      <c r="O181" s="4"/>
      <c r="P181" s="4"/>
      <c r="Q181" s="4"/>
    </row>
    <row r="182" ht="15.75" customHeight="1">
      <c r="A182" s="4"/>
      <c r="B182" s="3"/>
      <c r="C182" s="3"/>
      <c r="D182" s="4"/>
      <c r="E182" s="4"/>
      <c r="F182" s="4"/>
      <c r="G182" s="4"/>
      <c r="H182" s="5"/>
      <c r="I182" s="5"/>
      <c r="J182" s="4"/>
      <c r="K182" s="4"/>
      <c r="L182" s="40"/>
      <c r="M182" s="4"/>
      <c r="N182" s="3"/>
      <c r="O182" s="4"/>
      <c r="P182" s="4"/>
      <c r="Q182" s="4"/>
    </row>
    <row r="183" ht="15.75" customHeight="1">
      <c r="A183" s="4"/>
      <c r="B183" s="3"/>
      <c r="C183" s="3"/>
      <c r="D183" s="4"/>
      <c r="E183" s="4"/>
      <c r="F183" s="4"/>
      <c r="G183" s="4"/>
      <c r="H183" s="5"/>
      <c r="I183" s="5"/>
      <c r="J183" s="4"/>
      <c r="K183" s="4"/>
      <c r="L183" s="40"/>
      <c r="M183" s="4"/>
      <c r="N183" s="3"/>
      <c r="O183" s="4"/>
      <c r="P183" s="4"/>
      <c r="Q183" s="4"/>
    </row>
    <row r="184" ht="15.75" customHeight="1">
      <c r="A184" s="4"/>
      <c r="B184" s="3"/>
      <c r="C184" s="3"/>
      <c r="D184" s="4"/>
      <c r="E184" s="4"/>
      <c r="F184" s="4"/>
      <c r="G184" s="4"/>
      <c r="H184" s="5"/>
      <c r="I184" s="5"/>
      <c r="J184" s="4"/>
      <c r="K184" s="4"/>
      <c r="L184" s="40"/>
      <c r="M184" s="4"/>
      <c r="N184" s="3"/>
      <c r="O184" s="4"/>
      <c r="P184" s="4"/>
      <c r="Q184" s="4"/>
    </row>
    <row r="185" ht="15.75" customHeight="1">
      <c r="A185" s="4"/>
      <c r="B185" s="3"/>
      <c r="C185" s="3"/>
      <c r="D185" s="4"/>
      <c r="E185" s="4"/>
      <c r="F185" s="4"/>
      <c r="G185" s="4"/>
      <c r="H185" s="5"/>
      <c r="I185" s="5"/>
      <c r="J185" s="4"/>
      <c r="K185" s="4"/>
      <c r="L185" s="40"/>
      <c r="M185" s="4"/>
      <c r="N185" s="3"/>
      <c r="O185" s="4"/>
      <c r="P185" s="4"/>
      <c r="Q185" s="4"/>
    </row>
    <row r="186" ht="15.75" customHeight="1">
      <c r="A186" s="4"/>
      <c r="B186" s="3"/>
      <c r="C186" s="3"/>
      <c r="D186" s="4"/>
      <c r="E186" s="4"/>
      <c r="F186" s="4"/>
      <c r="G186" s="4"/>
      <c r="H186" s="5"/>
      <c r="I186" s="5"/>
      <c r="J186" s="4"/>
      <c r="K186" s="4"/>
      <c r="L186" s="40"/>
      <c r="M186" s="4"/>
      <c r="N186" s="3"/>
      <c r="O186" s="4"/>
      <c r="P186" s="4"/>
      <c r="Q186" s="4"/>
    </row>
    <row r="187" ht="15.75" customHeight="1">
      <c r="A187" s="4"/>
      <c r="B187" s="3"/>
      <c r="C187" s="3"/>
      <c r="D187" s="4"/>
      <c r="E187" s="4"/>
      <c r="F187" s="4"/>
      <c r="G187" s="4"/>
      <c r="H187" s="5"/>
      <c r="I187" s="5"/>
      <c r="J187" s="4"/>
      <c r="K187" s="4"/>
      <c r="L187" s="40"/>
      <c r="M187" s="4"/>
      <c r="N187" s="3"/>
      <c r="O187" s="4"/>
      <c r="P187" s="4"/>
      <c r="Q187" s="4"/>
    </row>
    <row r="188" ht="15.75" customHeight="1">
      <c r="A188" s="4"/>
      <c r="B188" s="3"/>
      <c r="C188" s="3"/>
      <c r="D188" s="4"/>
      <c r="E188" s="4"/>
      <c r="F188" s="4"/>
      <c r="G188" s="4"/>
      <c r="H188" s="5"/>
      <c r="I188" s="5"/>
      <c r="J188" s="4"/>
      <c r="K188" s="4"/>
      <c r="L188" s="40"/>
      <c r="M188" s="4"/>
      <c r="N188" s="3"/>
      <c r="O188" s="4"/>
      <c r="P188" s="4"/>
      <c r="Q188" s="4"/>
    </row>
    <row r="189" ht="15.75" customHeight="1">
      <c r="A189" s="4"/>
      <c r="B189" s="3"/>
      <c r="C189" s="3"/>
      <c r="D189" s="4"/>
      <c r="E189" s="4"/>
      <c r="F189" s="4"/>
      <c r="G189" s="4"/>
      <c r="H189" s="5"/>
      <c r="I189" s="5"/>
      <c r="J189" s="4"/>
      <c r="K189" s="4"/>
      <c r="L189" s="40"/>
      <c r="M189" s="4"/>
      <c r="N189" s="3"/>
      <c r="O189" s="4"/>
      <c r="P189" s="4"/>
      <c r="Q189" s="4"/>
    </row>
    <row r="190" ht="15.75" customHeight="1">
      <c r="A190" s="4"/>
      <c r="B190" s="3"/>
      <c r="C190" s="3"/>
      <c r="D190" s="4"/>
      <c r="E190" s="4"/>
      <c r="F190" s="4"/>
      <c r="G190" s="4"/>
      <c r="H190" s="5"/>
      <c r="I190" s="5"/>
      <c r="J190" s="4"/>
      <c r="K190" s="4"/>
      <c r="L190" s="40"/>
      <c r="M190" s="4"/>
      <c r="N190" s="3"/>
      <c r="O190" s="4"/>
      <c r="P190" s="4"/>
      <c r="Q190" s="4"/>
    </row>
    <row r="191" ht="15.75" customHeight="1">
      <c r="A191" s="4"/>
      <c r="B191" s="3"/>
      <c r="C191" s="3"/>
      <c r="D191" s="4"/>
      <c r="E191" s="4"/>
      <c r="F191" s="4"/>
      <c r="G191" s="4"/>
      <c r="H191" s="5"/>
      <c r="I191" s="5"/>
      <c r="J191" s="4"/>
      <c r="K191" s="4"/>
      <c r="L191" s="40"/>
      <c r="M191" s="4"/>
      <c r="N191" s="3"/>
      <c r="O191" s="4"/>
      <c r="P191" s="4"/>
      <c r="Q191" s="4"/>
    </row>
    <row r="192" ht="15.75" customHeight="1">
      <c r="A192" s="4"/>
      <c r="B192" s="3"/>
      <c r="C192" s="3"/>
      <c r="D192" s="4"/>
      <c r="E192" s="4"/>
      <c r="F192" s="4"/>
      <c r="G192" s="4"/>
      <c r="H192" s="5"/>
      <c r="I192" s="5"/>
      <c r="J192" s="4"/>
      <c r="K192" s="4"/>
      <c r="L192" s="40"/>
      <c r="M192" s="4"/>
      <c r="N192" s="3"/>
      <c r="O192" s="4"/>
      <c r="P192" s="4"/>
      <c r="Q192" s="4"/>
    </row>
    <row r="193" ht="15.75" customHeight="1">
      <c r="A193" s="4"/>
      <c r="B193" s="3"/>
      <c r="C193" s="3"/>
      <c r="D193" s="4"/>
      <c r="E193" s="4"/>
      <c r="F193" s="4"/>
      <c r="G193" s="4"/>
      <c r="H193" s="5"/>
      <c r="I193" s="5"/>
      <c r="J193" s="4"/>
      <c r="K193" s="4"/>
      <c r="L193" s="40"/>
      <c r="M193" s="4"/>
      <c r="N193" s="3"/>
      <c r="O193" s="4"/>
      <c r="P193" s="4"/>
      <c r="Q193" s="4"/>
    </row>
    <row r="194" ht="15.75" customHeight="1">
      <c r="A194" s="4"/>
      <c r="B194" s="3"/>
      <c r="C194" s="3"/>
      <c r="D194" s="4"/>
      <c r="E194" s="4"/>
      <c r="F194" s="4"/>
      <c r="G194" s="4"/>
      <c r="H194" s="5"/>
      <c r="I194" s="5"/>
      <c r="J194" s="4"/>
      <c r="K194" s="4"/>
      <c r="L194" s="40"/>
      <c r="M194" s="4"/>
      <c r="N194" s="3"/>
      <c r="O194" s="4"/>
      <c r="P194" s="4"/>
      <c r="Q194" s="4"/>
    </row>
    <row r="195" ht="15.75" customHeight="1">
      <c r="A195" s="4"/>
      <c r="B195" s="3"/>
      <c r="C195" s="3"/>
      <c r="D195" s="4"/>
      <c r="E195" s="4"/>
      <c r="F195" s="4"/>
      <c r="G195" s="4"/>
      <c r="H195" s="5"/>
      <c r="I195" s="5"/>
      <c r="J195" s="4"/>
      <c r="K195" s="4"/>
      <c r="L195" s="40"/>
      <c r="M195" s="4"/>
      <c r="N195" s="3"/>
      <c r="O195" s="4"/>
      <c r="P195" s="4"/>
      <c r="Q195" s="4"/>
    </row>
    <row r="196" ht="15.75" customHeight="1">
      <c r="A196" s="4"/>
      <c r="B196" s="3"/>
      <c r="C196" s="3"/>
      <c r="D196" s="4"/>
      <c r="E196" s="4"/>
      <c r="F196" s="4"/>
      <c r="G196" s="4"/>
      <c r="H196" s="5"/>
      <c r="I196" s="5"/>
      <c r="J196" s="4"/>
      <c r="K196" s="4"/>
      <c r="L196" s="40"/>
      <c r="M196" s="4"/>
      <c r="N196" s="3"/>
      <c r="O196" s="4"/>
      <c r="P196" s="4"/>
      <c r="Q196" s="4"/>
    </row>
    <row r="197" ht="15.75" customHeight="1">
      <c r="A197" s="4"/>
      <c r="B197" s="3"/>
      <c r="C197" s="3"/>
      <c r="D197" s="4"/>
      <c r="E197" s="4"/>
      <c r="F197" s="4"/>
      <c r="G197" s="4"/>
      <c r="H197" s="5"/>
      <c r="I197" s="5"/>
      <c r="J197" s="4"/>
      <c r="K197" s="4"/>
      <c r="L197" s="40"/>
      <c r="M197" s="4"/>
      <c r="N197" s="3"/>
      <c r="O197" s="4"/>
      <c r="P197" s="4"/>
      <c r="Q197" s="4"/>
    </row>
    <row r="198" ht="15.75" customHeight="1">
      <c r="A198" s="4"/>
      <c r="B198" s="3"/>
      <c r="C198" s="3"/>
      <c r="D198" s="4"/>
      <c r="E198" s="4"/>
      <c r="F198" s="4"/>
      <c r="G198" s="4"/>
      <c r="H198" s="5"/>
      <c r="I198" s="5"/>
      <c r="J198" s="4"/>
      <c r="K198" s="4"/>
      <c r="L198" s="40"/>
      <c r="M198" s="4"/>
      <c r="N198" s="3"/>
      <c r="O198" s="4"/>
      <c r="P198" s="4"/>
      <c r="Q198" s="4"/>
    </row>
    <row r="199" ht="15.75" customHeight="1">
      <c r="A199" s="4"/>
      <c r="B199" s="3"/>
      <c r="C199" s="3"/>
      <c r="D199" s="4"/>
      <c r="E199" s="4"/>
      <c r="F199" s="4"/>
      <c r="G199" s="4"/>
      <c r="H199" s="5"/>
      <c r="I199" s="5"/>
      <c r="J199" s="4"/>
      <c r="K199" s="4"/>
      <c r="L199" s="40"/>
      <c r="M199" s="4"/>
      <c r="N199" s="3"/>
      <c r="O199" s="4"/>
      <c r="P199" s="4"/>
      <c r="Q199" s="4"/>
    </row>
    <row r="200" ht="15.75" customHeight="1">
      <c r="A200" s="4"/>
      <c r="B200" s="3"/>
      <c r="C200" s="3"/>
      <c r="D200" s="4"/>
      <c r="E200" s="4"/>
      <c r="F200" s="4"/>
      <c r="G200" s="4"/>
      <c r="H200" s="5"/>
      <c r="I200" s="5"/>
      <c r="J200" s="4"/>
      <c r="K200" s="4"/>
      <c r="L200" s="40"/>
      <c r="M200" s="4"/>
      <c r="N200" s="3"/>
      <c r="O200" s="4"/>
      <c r="P200" s="4"/>
      <c r="Q200" s="4"/>
    </row>
    <row r="201" ht="15.75" customHeight="1">
      <c r="A201" s="4"/>
      <c r="B201" s="3"/>
      <c r="C201" s="3"/>
      <c r="D201" s="4"/>
      <c r="E201" s="4"/>
      <c r="F201" s="4"/>
      <c r="G201" s="4"/>
      <c r="H201" s="5"/>
      <c r="I201" s="5"/>
      <c r="J201" s="4"/>
      <c r="K201" s="4"/>
      <c r="L201" s="40"/>
      <c r="M201" s="4"/>
      <c r="N201" s="3"/>
      <c r="O201" s="4"/>
      <c r="P201" s="4"/>
      <c r="Q201" s="4"/>
    </row>
    <row r="202" ht="15.75" customHeight="1">
      <c r="A202" s="4"/>
      <c r="B202" s="3"/>
      <c r="C202" s="3"/>
      <c r="D202" s="4"/>
      <c r="E202" s="4"/>
      <c r="F202" s="4"/>
      <c r="G202" s="4"/>
      <c r="H202" s="5"/>
      <c r="I202" s="5"/>
      <c r="J202" s="4"/>
      <c r="K202" s="4"/>
      <c r="L202" s="40"/>
      <c r="M202" s="4"/>
      <c r="N202" s="3"/>
      <c r="O202" s="4"/>
      <c r="P202" s="4"/>
      <c r="Q202" s="4"/>
    </row>
    <row r="203" ht="15.75" customHeight="1">
      <c r="A203" s="4"/>
      <c r="B203" s="3"/>
      <c r="C203" s="3"/>
      <c r="D203" s="4"/>
      <c r="E203" s="4"/>
      <c r="F203" s="4"/>
      <c r="G203" s="4"/>
      <c r="H203" s="5"/>
      <c r="I203" s="5"/>
      <c r="J203" s="4"/>
      <c r="K203" s="4"/>
      <c r="L203" s="40"/>
      <c r="M203" s="4"/>
      <c r="N203" s="3"/>
      <c r="O203" s="4"/>
      <c r="P203" s="4"/>
      <c r="Q203" s="4"/>
    </row>
    <row r="204" ht="15.75" customHeight="1">
      <c r="A204" s="4"/>
      <c r="B204" s="3"/>
      <c r="C204" s="3"/>
      <c r="D204" s="4"/>
      <c r="E204" s="4"/>
      <c r="F204" s="4"/>
      <c r="G204" s="4"/>
      <c r="H204" s="5"/>
      <c r="I204" s="5"/>
      <c r="J204" s="4"/>
      <c r="K204" s="4"/>
      <c r="L204" s="40"/>
      <c r="M204" s="4"/>
      <c r="N204" s="3"/>
      <c r="O204" s="4"/>
      <c r="P204" s="4"/>
      <c r="Q204" s="4"/>
    </row>
    <row r="205" ht="15.75" customHeight="1">
      <c r="A205" s="4"/>
      <c r="B205" s="3"/>
      <c r="C205" s="3"/>
      <c r="D205" s="4"/>
      <c r="E205" s="4"/>
      <c r="F205" s="4"/>
      <c r="G205" s="4"/>
      <c r="H205" s="5"/>
      <c r="I205" s="5"/>
      <c r="J205" s="4"/>
      <c r="K205" s="4"/>
      <c r="L205" s="40"/>
      <c r="M205" s="4"/>
      <c r="N205" s="3"/>
      <c r="O205" s="4"/>
      <c r="P205" s="4"/>
      <c r="Q205" s="4"/>
    </row>
    <row r="206" ht="15.75" customHeight="1">
      <c r="A206" s="4"/>
      <c r="B206" s="3"/>
      <c r="C206" s="3"/>
      <c r="D206" s="4"/>
      <c r="E206" s="4"/>
      <c r="F206" s="4"/>
      <c r="G206" s="4"/>
      <c r="H206" s="5"/>
      <c r="I206" s="5"/>
      <c r="J206" s="4"/>
      <c r="K206" s="4"/>
      <c r="L206" s="40"/>
      <c r="M206" s="4"/>
      <c r="N206" s="3"/>
      <c r="O206" s="4"/>
      <c r="P206" s="4"/>
      <c r="Q206" s="4"/>
    </row>
    <row r="207" ht="15.75" customHeight="1">
      <c r="A207" s="4"/>
      <c r="B207" s="3"/>
      <c r="C207" s="3"/>
      <c r="D207" s="4"/>
      <c r="E207" s="4"/>
      <c r="F207" s="4"/>
      <c r="G207" s="4"/>
      <c r="H207" s="5"/>
      <c r="I207" s="5"/>
      <c r="J207" s="4"/>
      <c r="K207" s="4"/>
      <c r="L207" s="40"/>
      <c r="M207" s="4"/>
      <c r="N207" s="3"/>
      <c r="O207" s="4"/>
      <c r="P207" s="4"/>
      <c r="Q207" s="4"/>
    </row>
    <row r="208" ht="15.75" customHeight="1">
      <c r="A208" s="4"/>
      <c r="B208" s="3"/>
      <c r="C208" s="3"/>
      <c r="D208" s="4"/>
      <c r="E208" s="4"/>
      <c r="F208" s="4"/>
      <c r="G208" s="4"/>
      <c r="H208" s="5"/>
      <c r="I208" s="5"/>
      <c r="J208" s="4"/>
      <c r="K208" s="4"/>
      <c r="L208" s="40"/>
      <c r="M208" s="4"/>
      <c r="N208" s="3"/>
      <c r="O208" s="4"/>
      <c r="P208" s="4"/>
      <c r="Q208" s="4"/>
    </row>
    <row r="209" ht="15.75" customHeight="1">
      <c r="A209" s="4"/>
      <c r="B209" s="3"/>
      <c r="C209" s="3"/>
      <c r="D209" s="4"/>
      <c r="E209" s="4"/>
      <c r="F209" s="4"/>
      <c r="G209" s="4"/>
      <c r="H209" s="5"/>
      <c r="I209" s="5"/>
      <c r="J209" s="4"/>
      <c r="K209" s="4"/>
      <c r="L209" s="40"/>
      <c r="M209" s="4"/>
      <c r="N209" s="3"/>
      <c r="O209" s="4"/>
      <c r="P209" s="4"/>
      <c r="Q209" s="4"/>
    </row>
    <row r="210" ht="15.75" customHeight="1">
      <c r="A210" s="4"/>
      <c r="B210" s="3"/>
      <c r="C210" s="3"/>
      <c r="D210" s="4"/>
      <c r="E210" s="4"/>
      <c r="F210" s="4"/>
      <c r="G210" s="4"/>
      <c r="H210" s="5"/>
      <c r="I210" s="5"/>
      <c r="J210" s="4"/>
      <c r="K210" s="4"/>
      <c r="L210" s="40"/>
      <c r="M210" s="4"/>
      <c r="N210" s="3"/>
      <c r="O210" s="4"/>
      <c r="P210" s="4"/>
      <c r="Q210" s="4"/>
    </row>
    <row r="211" ht="15.75" customHeight="1">
      <c r="A211" s="4"/>
      <c r="B211" s="3"/>
      <c r="C211" s="3"/>
      <c r="D211" s="4"/>
      <c r="E211" s="4"/>
      <c r="F211" s="4"/>
      <c r="G211" s="4"/>
      <c r="H211" s="5"/>
      <c r="I211" s="5"/>
      <c r="J211" s="4"/>
      <c r="K211" s="4"/>
      <c r="L211" s="40"/>
      <c r="M211" s="4"/>
      <c r="N211" s="3"/>
      <c r="O211" s="4"/>
      <c r="P211" s="4"/>
      <c r="Q211" s="4"/>
    </row>
    <row r="212" ht="15.75" customHeight="1">
      <c r="A212" s="4"/>
      <c r="B212" s="3"/>
      <c r="C212" s="3"/>
      <c r="D212" s="4"/>
      <c r="E212" s="4"/>
      <c r="F212" s="4"/>
      <c r="G212" s="4"/>
      <c r="H212" s="5"/>
      <c r="I212" s="5"/>
      <c r="J212" s="4"/>
      <c r="K212" s="4"/>
      <c r="L212" s="40"/>
      <c r="M212" s="4"/>
      <c r="N212" s="3"/>
      <c r="O212" s="4"/>
      <c r="P212" s="4"/>
      <c r="Q212" s="4"/>
    </row>
    <row r="213" ht="15.75" customHeight="1">
      <c r="A213" s="4"/>
      <c r="B213" s="3"/>
      <c r="C213" s="3"/>
      <c r="D213" s="4"/>
      <c r="E213" s="4"/>
      <c r="F213" s="4"/>
      <c r="G213" s="4"/>
      <c r="H213" s="5"/>
      <c r="I213" s="5"/>
      <c r="J213" s="4"/>
      <c r="K213" s="4"/>
      <c r="L213" s="40"/>
      <c r="M213" s="4"/>
      <c r="N213" s="3"/>
      <c r="O213" s="4"/>
      <c r="P213" s="4"/>
      <c r="Q213" s="4"/>
    </row>
    <row r="214" ht="15.75" customHeight="1">
      <c r="A214" s="4"/>
      <c r="B214" s="3"/>
      <c r="C214" s="3"/>
      <c r="D214" s="4"/>
      <c r="E214" s="4"/>
      <c r="F214" s="4"/>
      <c r="G214" s="4"/>
      <c r="H214" s="5"/>
      <c r="I214" s="5"/>
      <c r="J214" s="4"/>
      <c r="K214" s="4"/>
      <c r="L214" s="40"/>
      <c r="M214" s="4"/>
      <c r="N214" s="3"/>
      <c r="O214" s="4"/>
      <c r="P214" s="4"/>
      <c r="Q214" s="4"/>
    </row>
    <row r="215" ht="15.75" customHeight="1">
      <c r="A215" s="4"/>
      <c r="B215" s="3"/>
      <c r="C215" s="3"/>
      <c r="D215" s="4"/>
      <c r="E215" s="4"/>
      <c r="F215" s="4"/>
      <c r="G215" s="4"/>
      <c r="H215" s="5"/>
      <c r="I215" s="5"/>
      <c r="J215" s="4"/>
      <c r="K215" s="4"/>
      <c r="L215" s="40"/>
      <c r="M215" s="4"/>
      <c r="N215" s="3"/>
      <c r="O215" s="4"/>
      <c r="P215" s="4"/>
      <c r="Q215" s="4"/>
    </row>
    <row r="216" ht="15.75" customHeight="1">
      <c r="A216" s="4"/>
      <c r="B216" s="3"/>
      <c r="C216" s="3"/>
      <c r="D216" s="4"/>
      <c r="E216" s="4"/>
      <c r="F216" s="4"/>
      <c r="G216" s="4"/>
      <c r="H216" s="5"/>
      <c r="I216" s="5"/>
      <c r="J216" s="4"/>
      <c r="K216" s="4"/>
      <c r="L216" s="40"/>
      <c r="M216" s="4"/>
      <c r="N216" s="3"/>
      <c r="O216" s="4"/>
      <c r="P216" s="4"/>
      <c r="Q216" s="4"/>
    </row>
    <row r="217" ht="15.75" customHeight="1">
      <c r="A217" s="4"/>
      <c r="B217" s="3"/>
      <c r="C217" s="3"/>
      <c r="D217" s="4"/>
      <c r="E217" s="4"/>
      <c r="F217" s="4"/>
      <c r="G217" s="4"/>
      <c r="H217" s="5"/>
      <c r="I217" s="5"/>
      <c r="J217" s="4"/>
      <c r="K217" s="4"/>
      <c r="L217" s="40"/>
      <c r="M217" s="4"/>
      <c r="N217" s="3"/>
      <c r="O217" s="4"/>
      <c r="P217" s="4"/>
      <c r="Q217" s="4"/>
    </row>
    <row r="218" ht="15.75" customHeight="1">
      <c r="A218" s="4"/>
      <c r="B218" s="3"/>
      <c r="C218" s="3"/>
      <c r="D218" s="4"/>
      <c r="E218" s="4"/>
      <c r="F218" s="4"/>
      <c r="G218" s="4"/>
      <c r="H218" s="5"/>
      <c r="I218" s="5"/>
      <c r="J218" s="4"/>
      <c r="K218" s="4"/>
      <c r="L218" s="40"/>
      <c r="M218" s="4"/>
      <c r="N218" s="3"/>
      <c r="O218" s="4"/>
      <c r="P218" s="4"/>
      <c r="Q218" s="4"/>
    </row>
    <row r="219" ht="15.75" customHeight="1">
      <c r="A219" s="4"/>
      <c r="B219" s="3"/>
      <c r="C219" s="3"/>
      <c r="D219" s="4"/>
      <c r="E219" s="4"/>
      <c r="F219" s="4"/>
      <c r="G219" s="4"/>
      <c r="H219" s="5"/>
      <c r="I219" s="5"/>
      <c r="J219" s="4"/>
      <c r="K219" s="4"/>
      <c r="L219" s="40"/>
      <c r="M219" s="4"/>
      <c r="N219" s="3"/>
      <c r="O219" s="4"/>
      <c r="P219" s="4"/>
      <c r="Q219" s="4"/>
    </row>
    <row r="220" ht="15.75" customHeight="1">
      <c r="A220" s="4"/>
      <c r="B220" s="3"/>
      <c r="C220" s="3"/>
      <c r="D220" s="4"/>
      <c r="E220" s="4"/>
      <c r="F220" s="4"/>
      <c r="G220" s="4"/>
      <c r="H220" s="5"/>
      <c r="I220" s="5"/>
      <c r="J220" s="4"/>
      <c r="K220" s="4"/>
      <c r="L220" s="40"/>
      <c r="M220" s="4"/>
      <c r="N220" s="3"/>
      <c r="O220" s="4"/>
      <c r="P220" s="4"/>
      <c r="Q220" s="4"/>
    </row>
    <row r="221" ht="15.75" customHeight="1">
      <c r="A221" s="4"/>
      <c r="B221" s="3"/>
      <c r="C221" s="3"/>
      <c r="D221" s="4"/>
      <c r="E221" s="4"/>
      <c r="F221" s="4"/>
      <c r="G221" s="4"/>
      <c r="H221" s="5"/>
      <c r="I221" s="5"/>
      <c r="J221" s="4"/>
      <c r="K221" s="4"/>
      <c r="L221" s="40"/>
      <c r="M221" s="4"/>
      <c r="N221" s="3"/>
      <c r="O221" s="4"/>
      <c r="P221" s="4"/>
      <c r="Q221" s="4"/>
    </row>
    <row r="222" ht="15.75" customHeight="1">
      <c r="A222" s="4"/>
      <c r="B222" s="3"/>
      <c r="C222" s="3"/>
      <c r="D222" s="4"/>
      <c r="E222" s="4"/>
      <c r="F222" s="4"/>
      <c r="G222" s="4"/>
      <c r="H222" s="5"/>
      <c r="I222" s="5"/>
      <c r="J222" s="4"/>
      <c r="K222" s="4"/>
      <c r="L222" s="40"/>
      <c r="M222" s="4"/>
      <c r="N222" s="3"/>
      <c r="O222" s="4"/>
      <c r="P222" s="4"/>
      <c r="Q222" s="4"/>
    </row>
    <row r="223" ht="15.75" customHeight="1">
      <c r="A223" s="4"/>
      <c r="B223" s="3"/>
      <c r="C223" s="3"/>
      <c r="D223" s="4"/>
      <c r="E223" s="4"/>
      <c r="F223" s="4"/>
      <c r="G223" s="4"/>
      <c r="H223" s="5"/>
      <c r="I223" s="5"/>
      <c r="J223" s="4"/>
      <c r="K223" s="4"/>
      <c r="L223" s="40"/>
      <c r="M223" s="4"/>
      <c r="N223" s="3"/>
      <c r="O223" s="4"/>
      <c r="P223" s="4"/>
      <c r="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5.14"/>
    <col customWidth="1" min="3" max="3" width="18.29"/>
    <col customWidth="1" min="4" max="4" width="20.14"/>
    <col customWidth="1" min="5" max="5" width="19.71"/>
    <col customWidth="1" min="6" max="6" width="11.29"/>
    <col customWidth="1" min="7" max="7" width="35.29"/>
    <col customWidth="1" min="8" max="8" width="15.0"/>
    <col customWidth="1" min="9" max="9" width="17.14"/>
    <col customWidth="1" min="10" max="10" width="12.43"/>
    <col customWidth="1" min="11" max="11" width="18.14"/>
    <col customWidth="1" min="12" max="12" width="17.14"/>
    <col customWidth="1" min="13" max="13" width="19.29"/>
    <col customWidth="1" min="14" max="14" width="17.14"/>
  </cols>
  <sheetData>
    <row r="1">
      <c r="A1" s="1" t="s">
        <v>0</v>
      </c>
      <c r="B1" s="2">
        <v>1.6688348E7</v>
      </c>
      <c r="C1" s="3">
        <v>12.0</v>
      </c>
      <c r="D1" s="4">
        <v>2025.0</v>
      </c>
      <c r="E1" s="4"/>
      <c r="F1" s="4" t="s">
        <v>1</v>
      </c>
      <c r="G1" s="4" t="s">
        <v>2</v>
      </c>
      <c r="H1" s="3" t="s">
        <v>3</v>
      </c>
      <c r="I1" s="3" t="s">
        <v>4</v>
      </c>
      <c r="J1" s="4" t="s">
        <v>5</v>
      </c>
      <c r="K1" s="6" t="s">
        <v>6</v>
      </c>
      <c r="L1" s="6" t="s">
        <v>7</v>
      </c>
      <c r="M1" s="8" t="s">
        <v>8</v>
      </c>
      <c r="N1" s="8" t="s">
        <v>7</v>
      </c>
      <c r="O1" s="4"/>
      <c r="P1" s="4"/>
      <c r="Q1" s="4"/>
    </row>
    <row r="2">
      <c r="A2" s="1" t="s">
        <v>9</v>
      </c>
      <c r="B2" s="2">
        <v>960404.0</v>
      </c>
      <c r="C2" s="3"/>
      <c r="D2" s="4"/>
      <c r="E2" s="4"/>
      <c r="F2" s="4"/>
      <c r="G2" s="3"/>
      <c r="H2" s="3">
        <f t="shared" ref="H2:I2" si="1">SUM(H3:H100)</f>
        <v>-30169500</v>
      </c>
      <c r="I2" s="3">
        <f t="shared" si="1"/>
        <v>132409500</v>
      </c>
      <c r="J2" s="3">
        <f>I2+H2</f>
        <v>102240000</v>
      </c>
      <c r="K2" s="9" t="s">
        <v>10</v>
      </c>
      <c r="L2" s="9">
        <f>SUM(L3:L33)</f>
        <v>-508200</v>
      </c>
      <c r="M2" s="11" t="s">
        <v>10</v>
      </c>
      <c r="N2" s="8">
        <f>SUM(N3:N33)</f>
        <v>0</v>
      </c>
      <c r="O2" s="4"/>
      <c r="P2" s="4"/>
      <c r="Q2" s="4"/>
    </row>
    <row r="3">
      <c r="A3" s="1" t="s">
        <v>11</v>
      </c>
      <c r="B3" s="2"/>
      <c r="C3" s="3"/>
      <c r="D3" s="4"/>
      <c r="E3" s="4"/>
      <c r="F3" s="4" t="str">
        <f t="shared" ref="F3:F26" si="2">ROW()-2&amp;"/"&amp;$C$1&amp;"/"&amp;$D$1</f>
        <v>1/12/2025</v>
      </c>
      <c r="G3" s="3" t="s">
        <v>98</v>
      </c>
      <c r="H3" s="3"/>
      <c r="I3" s="3">
        <v>400000.0</v>
      </c>
      <c r="J3" s="3"/>
      <c r="K3" s="4"/>
      <c r="L3" s="3"/>
      <c r="M3" s="4"/>
      <c r="N3" s="3"/>
      <c r="O3" s="4"/>
      <c r="P3" s="4"/>
      <c r="Q3" s="4"/>
    </row>
    <row r="4">
      <c r="A4" s="14"/>
      <c r="B4" s="3"/>
      <c r="C4" s="3"/>
      <c r="D4" s="4"/>
      <c r="E4" s="4"/>
      <c r="F4" s="4" t="str">
        <f t="shared" si="2"/>
        <v>2/12/2025</v>
      </c>
      <c r="G4" s="3"/>
      <c r="H4" s="3"/>
      <c r="I4" s="3"/>
      <c r="J4" s="3"/>
      <c r="K4" s="4"/>
      <c r="L4" s="3"/>
      <c r="M4" s="4"/>
      <c r="N4" s="3"/>
      <c r="O4" s="4"/>
      <c r="P4" s="4"/>
      <c r="Q4" s="4"/>
    </row>
    <row r="5">
      <c r="A5" s="14"/>
      <c r="B5" s="3"/>
      <c r="C5" s="3"/>
      <c r="D5" s="4"/>
      <c r="E5" s="4"/>
      <c r="F5" s="4" t="str">
        <f t="shared" si="2"/>
        <v>3/12/2025</v>
      </c>
      <c r="G5" s="3"/>
      <c r="H5" s="3"/>
      <c r="I5" s="3"/>
      <c r="J5" s="3"/>
      <c r="K5" s="4"/>
      <c r="L5" s="3"/>
      <c r="M5" s="4"/>
      <c r="N5" s="3"/>
      <c r="O5" s="4"/>
      <c r="P5" s="4"/>
      <c r="Q5" s="4"/>
    </row>
    <row r="6">
      <c r="A6" s="17" t="s">
        <v>17</v>
      </c>
      <c r="B6" s="18">
        <f>-L2</f>
        <v>508200</v>
      </c>
      <c r="C6" s="3"/>
      <c r="D6" s="4"/>
      <c r="E6" s="4"/>
      <c r="F6" s="4" t="str">
        <f t="shared" si="2"/>
        <v>4/12/2025</v>
      </c>
      <c r="G6" s="3"/>
      <c r="H6" s="3"/>
      <c r="I6" s="3"/>
      <c r="J6" s="3"/>
      <c r="K6" s="4"/>
      <c r="L6" s="3"/>
      <c r="M6" s="4"/>
      <c r="N6" s="3"/>
      <c r="O6" s="4"/>
      <c r="P6" s="4"/>
      <c r="Q6" s="4"/>
    </row>
    <row r="7">
      <c r="A7" s="14"/>
      <c r="B7" s="19">
        <f>B6+SUM(B1:B3)</f>
        <v>18156952</v>
      </c>
      <c r="C7" s="3"/>
      <c r="D7" s="4"/>
      <c r="E7" s="4"/>
      <c r="F7" s="4" t="str">
        <f t="shared" si="2"/>
        <v>5/12/2025</v>
      </c>
      <c r="G7" s="39" t="s">
        <v>99</v>
      </c>
      <c r="H7" s="39"/>
      <c r="I7" s="39">
        <v>1000000.0</v>
      </c>
      <c r="J7" s="3"/>
      <c r="K7" s="4"/>
      <c r="L7" s="3"/>
      <c r="M7" s="4"/>
      <c r="N7" s="3"/>
      <c r="O7" s="4"/>
      <c r="P7" s="4"/>
      <c r="Q7" s="4"/>
    </row>
    <row r="8">
      <c r="A8" s="20" t="s">
        <v>22</v>
      </c>
      <c r="B8" s="21">
        <v>1.2E7</v>
      </c>
      <c r="C8" s="3"/>
      <c r="D8" s="4"/>
      <c r="E8" s="4"/>
      <c r="F8" s="4" t="str">
        <f t="shared" si="2"/>
        <v>6/12/2025</v>
      </c>
      <c r="G8" s="3"/>
      <c r="H8" s="3"/>
      <c r="I8" s="3"/>
      <c r="J8" s="3"/>
      <c r="K8" s="4"/>
      <c r="L8" s="3"/>
      <c r="M8" s="4"/>
      <c r="N8" s="3"/>
      <c r="O8" s="4"/>
      <c r="P8" s="4"/>
      <c r="Q8" s="4"/>
    </row>
    <row r="9">
      <c r="A9" s="24" t="s">
        <v>24</v>
      </c>
      <c r="B9" s="21">
        <v>1.0E7</v>
      </c>
      <c r="C9" s="3"/>
      <c r="D9" s="4"/>
      <c r="E9" s="4"/>
      <c r="F9" s="4" t="str">
        <f t="shared" si="2"/>
        <v>7/12/2025</v>
      </c>
      <c r="G9" s="3"/>
      <c r="H9" s="3"/>
      <c r="I9" s="3"/>
      <c r="J9" s="3"/>
      <c r="K9" s="4"/>
      <c r="L9" s="3"/>
      <c r="M9" s="4"/>
      <c r="N9" s="3"/>
      <c r="O9" s="4"/>
      <c r="P9" s="4"/>
      <c r="Q9" s="4"/>
    </row>
    <row r="10">
      <c r="A10" s="26" t="s">
        <v>25</v>
      </c>
      <c r="B10" s="27">
        <v>1.9E7</v>
      </c>
      <c r="C10" s="3"/>
      <c r="D10" s="4"/>
      <c r="E10" s="4"/>
      <c r="F10" s="4" t="str">
        <f t="shared" si="2"/>
        <v>8/12/2025</v>
      </c>
      <c r="G10" s="3"/>
      <c r="H10" s="3"/>
      <c r="I10" s="3"/>
      <c r="J10" s="3"/>
      <c r="K10" s="4" t="s">
        <v>100</v>
      </c>
      <c r="L10" s="3">
        <v>-508200.0</v>
      </c>
      <c r="M10" s="4"/>
      <c r="N10" s="3"/>
      <c r="O10" s="4"/>
      <c r="P10" s="4"/>
      <c r="Q10" s="4"/>
    </row>
    <row r="11">
      <c r="A11" s="26" t="s">
        <v>26</v>
      </c>
      <c r="B11" s="27"/>
      <c r="C11" s="3"/>
      <c r="D11" s="4"/>
      <c r="E11" s="4"/>
      <c r="F11" s="4" t="str">
        <f t="shared" si="2"/>
        <v>9/12/2025</v>
      </c>
      <c r="G11" s="3"/>
      <c r="H11" s="3"/>
      <c r="I11" s="3"/>
      <c r="J11" s="3"/>
      <c r="K11" s="4"/>
      <c r="L11" s="3"/>
      <c r="M11" s="4"/>
      <c r="N11" s="3"/>
      <c r="O11" s="4"/>
      <c r="P11" s="4"/>
      <c r="Q11" s="4"/>
    </row>
    <row r="12">
      <c r="A12" s="26" t="s">
        <v>27</v>
      </c>
      <c r="B12" s="27">
        <v>5000000.0</v>
      </c>
      <c r="C12" s="3"/>
      <c r="D12" s="4"/>
      <c r="E12" s="4"/>
      <c r="F12" s="4" t="str">
        <f t="shared" si="2"/>
        <v>10/12/2025</v>
      </c>
      <c r="G12" s="3"/>
      <c r="H12" s="3"/>
      <c r="I12" s="3"/>
      <c r="J12" s="3"/>
      <c r="K12" s="4"/>
      <c r="L12" s="3"/>
      <c r="M12" s="4"/>
      <c r="N12" s="3"/>
      <c r="O12" s="4"/>
      <c r="P12" s="4"/>
      <c r="Q12" s="4"/>
    </row>
    <row r="13">
      <c r="A13" s="28" t="s">
        <v>28</v>
      </c>
      <c r="B13" s="28">
        <f>SUM(B8:B12)-B7</f>
        <v>27843048</v>
      </c>
      <c r="C13" s="3"/>
      <c r="D13" s="4"/>
      <c r="E13" s="4"/>
      <c r="F13" s="4" t="str">
        <f t="shared" si="2"/>
        <v>11/12/2025</v>
      </c>
      <c r="G13" s="39"/>
      <c r="H13" s="3"/>
      <c r="I13" s="3"/>
      <c r="J13" s="3"/>
      <c r="K13" s="4"/>
      <c r="L13" s="3"/>
      <c r="M13" s="4"/>
      <c r="N13" s="3"/>
      <c r="O13" s="4"/>
      <c r="P13" s="4"/>
      <c r="Q13" s="4"/>
    </row>
    <row r="14">
      <c r="A14" s="29" t="s">
        <v>29</v>
      </c>
      <c r="B14" s="29">
        <f>19000000+88430</f>
        <v>19088430</v>
      </c>
      <c r="C14" s="3">
        <v>1.9E7</v>
      </c>
      <c r="D14" s="4"/>
      <c r="E14" s="4"/>
      <c r="F14" s="4" t="str">
        <f t="shared" si="2"/>
        <v>12/12/2025</v>
      </c>
      <c r="G14" s="39" t="s">
        <v>101</v>
      </c>
      <c r="H14" s="39"/>
      <c r="I14" s="39">
        <v>1.2E8</v>
      </c>
      <c r="J14" s="3"/>
      <c r="K14" s="4"/>
      <c r="L14" s="3"/>
      <c r="M14" s="4"/>
      <c r="N14" s="3"/>
      <c r="O14" s="4"/>
      <c r="P14" s="4"/>
      <c r="Q14" s="4"/>
    </row>
    <row r="15">
      <c r="A15" s="29" t="s">
        <v>31</v>
      </c>
      <c r="B15" s="29">
        <v>8754618.0</v>
      </c>
      <c r="C15" s="4"/>
      <c r="D15" s="3">
        <f>B13-B14-B15</f>
        <v>0</v>
      </c>
      <c r="E15" s="4"/>
      <c r="F15" s="4" t="str">
        <f t="shared" si="2"/>
        <v>13/12/2025</v>
      </c>
      <c r="G15" s="3"/>
      <c r="H15" s="3"/>
      <c r="I15" s="3"/>
      <c r="J15" s="3"/>
      <c r="K15" s="4"/>
      <c r="L15" s="3"/>
      <c r="M15" s="4"/>
      <c r="N15" s="3"/>
      <c r="O15" s="4"/>
      <c r="P15" s="4"/>
      <c r="Q15" s="4"/>
    </row>
    <row r="16">
      <c r="A16" s="4"/>
      <c r="B16" s="33" t="s">
        <v>32</v>
      </c>
      <c r="C16" s="33" t="s">
        <v>33</v>
      </c>
      <c r="D16" s="4" t="s">
        <v>34</v>
      </c>
      <c r="E16" s="4" t="s">
        <v>35</v>
      </c>
      <c r="F16" s="4" t="str">
        <f t="shared" si="2"/>
        <v>14/12/2025</v>
      </c>
      <c r="G16" s="3"/>
      <c r="H16" s="3"/>
      <c r="I16" s="3"/>
      <c r="J16" s="3"/>
      <c r="K16" s="4"/>
      <c r="L16" s="3"/>
      <c r="M16" s="4"/>
      <c r="N16" s="3"/>
      <c r="O16" s="4"/>
      <c r="P16" s="4"/>
      <c r="Q16" s="4"/>
    </row>
    <row r="17">
      <c r="A17" s="34" t="s">
        <v>36</v>
      </c>
      <c r="B17" s="8">
        <f>C17+B14</f>
        <v>-4449911570</v>
      </c>
      <c r="C17" s="33">
        <f t="array" ref="C17">INDIRECT("'"&amp;C1-1&amp;"-"&amp;D1&amp;"'!b17")</f>
        <v>-4469000000</v>
      </c>
      <c r="D17" s="3">
        <v>-4.5E9</v>
      </c>
      <c r="E17" s="3">
        <f t="shared" ref="E17:E18" si="3">B17-D17</f>
        <v>50088430</v>
      </c>
      <c r="F17" s="4" t="str">
        <f t="shared" si="2"/>
        <v>15/12/2025</v>
      </c>
      <c r="G17" s="39" t="s">
        <v>52</v>
      </c>
      <c r="H17" s="39"/>
      <c r="I17" s="39">
        <v>1.07E7</v>
      </c>
      <c r="J17" s="3"/>
      <c r="K17" s="4"/>
      <c r="L17" s="3"/>
      <c r="M17" s="4"/>
      <c r="N17" s="3"/>
      <c r="O17" s="4"/>
      <c r="P17" s="4"/>
      <c r="Q17" s="4"/>
    </row>
    <row r="18">
      <c r="A18" s="34" t="s">
        <v>37</v>
      </c>
      <c r="B18" s="8">
        <f>C18+J2+N2+B15</f>
        <v>-397890953</v>
      </c>
      <c r="C18" s="33">
        <f t="array" ref="C18">INDIRECT("'"&amp;C1-1&amp;"-"&amp;D1&amp;"'!b18")</f>
        <v>-508885571</v>
      </c>
      <c r="D18" s="3">
        <v>-1.72699995E8</v>
      </c>
      <c r="E18" s="3">
        <f t="shared" si="3"/>
        <v>-225190958</v>
      </c>
      <c r="F18" s="4" t="str">
        <f t="shared" si="2"/>
        <v>16/12/2025</v>
      </c>
      <c r="G18" s="39"/>
      <c r="H18" s="3"/>
      <c r="I18" s="3"/>
      <c r="J18" s="3"/>
      <c r="K18" s="4"/>
      <c r="L18" s="3"/>
      <c r="M18" s="4"/>
      <c r="N18" s="3"/>
      <c r="O18" s="4"/>
      <c r="P18" s="4"/>
      <c r="Q18" s="4"/>
    </row>
    <row r="19">
      <c r="A19" s="35" t="s">
        <v>38</v>
      </c>
      <c r="B19" s="11">
        <f>B18+B17</f>
        <v>-4847802523</v>
      </c>
      <c r="C19" s="3"/>
      <c r="D19" s="3">
        <f t="shared" ref="D19:E19" si="4">SUM(D17:D18)</f>
        <v>-4672699995</v>
      </c>
      <c r="E19" s="3">
        <f t="shared" si="4"/>
        <v>-175102528</v>
      </c>
      <c r="F19" s="4" t="str">
        <f t="shared" si="2"/>
        <v>17/12/2025</v>
      </c>
      <c r="G19" s="39"/>
      <c r="H19" s="3"/>
      <c r="I19" s="3"/>
      <c r="J19" s="3"/>
      <c r="K19" s="4"/>
      <c r="L19" s="3"/>
      <c r="M19" s="4"/>
      <c r="N19" s="3"/>
      <c r="O19" s="4"/>
      <c r="P19" s="4"/>
      <c r="Q19" s="4"/>
    </row>
    <row r="20">
      <c r="A20" s="4"/>
      <c r="B20" s="3"/>
      <c r="C20" s="3"/>
      <c r="D20" s="4"/>
      <c r="E20" s="4"/>
      <c r="F20" s="4" t="str">
        <f t="shared" si="2"/>
        <v>18/12/2025</v>
      </c>
      <c r="G20" s="39"/>
      <c r="H20" s="3"/>
      <c r="I20" s="3"/>
      <c r="J20" s="3"/>
      <c r="K20" s="4"/>
      <c r="L20" s="3"/>
      <c r="M20" s="4"/>
      <c r="N20" s="3"/>
      <c r="O20" s="4"/>
      <c r="P20" s="4"/>
      <c r="Q20" s="4"/>
    </row>
    <row r="21" ht="15.75" customHeight="1">
      <c r="A21" s="4"/>
      <c r="B21" s="4"/>
      <c r="C21" s="4"/>
      <c r="D21" s="4"/>
      <c r="E21" s="4"/>
      <c r="F21" s="4" t="str">
        <f t="shared" si="2"/>
        <v>19/12/2025</v>
      </c>
      <c r="G21" s="39"/>
      <c r="H21" s="3"/>
      <c r="I21" s="3"/>
      <c r="J21" s="3"/>
      <c r="K21" s="4"/>
      <c r="L21" s="3"/>
      <c r="M21" s="4"/>
      <c r="N21" s="3"/>
      <c r="O21" s="4"/>
      <c r="P21" s="4"/>
      <c r="Q21" s="4"/>
    </row>
    <row r="22" ht="15.75" customHeight="1">
      <c r="A22" s="4" t="s">
        <v>39</v>
      </c>
      <c r="B22" s="4">
        <f>4.7/100</f>
        <v>0.047</v>
      </c>
      <c r="C22" s="4" t="s">
        <v>40</v>
      </c>
      <c r="D22" s="4" t="s">
        <v>102</v>
      </c>
      <c r="E22" s="4" t="s">
        <v>103</v>
      </c>
      <c r="F22" s="4" t="str">
        <f t="shared" si="2"/>
        <v>20/12/2025</v>
      </c>
      <c r="G22" s="3" t="s">
        <v>104</v>
      </c>
      <c r="H22" s="3">
        <v>-400000.0</v>
      </c>
      <c r="I22" s="3"/>
      <c r="J22" s="3"/>
      <c r="K22" s="4"/>
      <c r="L22" s="3"/>
      <c r="M22" s="4"/>
      <c r="N22" s="3"/>
      <c r="O22" s="4"/>
      <c r="P22" s="4"/>
      <c r="Q22" s="4"/>
    </row>
    <row r="23" ht="15.75" customHeight="1">
      <c r="A23" s="3" t="s">
        <v>41</v>
      </c>
      <c r="B23" s="36">
        <v>2.0E8</v>
      </c>
      <c r="C23" s="37">
        <v>45987.0</v>
      </c>
      <c r="D23" s="37">
        <f>TODAY()</f>
        <v>46088</v>
      </c>
      <c r="E23" s="4"/>
      <c r="F23" s="4" t="str">
        <f t="shared" si="2"/>
        <v>21/12/2025</v>
      </c>
      <c r="G23" s="3" t="s">
        <v>105</v>
      </c>
      <c r="H23" s="3">
        <f>-400000-2500000</f>
        <v>-2900000</v>
      </c>
      <c r="I23" s="3"/>
      <c r="J23" s="3"/>
      <c r="K23" s="4"/>
      <c r="L23" s="3"/>
      <c r="M23" s="4"/>
      <c r="N23" s="3"/>
      <c r="O23" s="4"/>
      <c r="P23" s="4"/>
      <c r="Q23" s="4"/>
    </row>
    <row r="24" ht="15.75" customHeight="1">
      <c r="A24" s="39" t="s">
        <v>106</v>
      </c>
      <c r="B24" s="48">
        <v>1.2E8</v>
      </c>
      <c r="C24" s="38">
        <v>45987.0</v>
      </c>
      <c r="D24" s="38">
        <v>46003.0</v>
      </c>
      <c r="E24" s="39">
        <f>B24*B22*(D24-C24)/365</f>
        <v>247232.8767</v>
      </c>
      <c r="F24" s="4" t="str">
        <f t="shared" si="2"/>
        <v>22/12/2025</v>
      </c>
      <c r="G24" s="39" t="s">
        <v>107</v>
      </c>
      <c r="H24" s="39">
        <v>-239500.0</v>
      </c>
      <c r="I24" s="3"/>
      <c r="J24" s="3"/>
      <c r="K24" s="4"/>
      <c r="L24" s="3"/>
      <c r="M24" s="4"/>
      <c r="N24" s="3"/>
      <c r="O24" s="4"/>
      <c r="P24" s="4"/>
      <c r="Q24" s="4"/>
    </row>
    <row r="25" ht="15.75" customHeight="1">
      <c r="A25" s="4"/>
      <c r="B25" s="3"/>
      <c r="C25" s="3"/>
      <c r="D25" s="4"/>
      <c r="E25" s="4"/>
      <c r="F25" s="4" t="str">
        <f t="shared" si="2"/>
        <v>23/12/2025</v>
      </c>
      <c r="G25" s="3"/>
      <c r="H25" s="3"/>
      <c r="I25" s="3"/>
      <c r="J25" s="3"/>
      <c r="K25" s="4"/>
      <c r="L25" s="3"/>
      <c r="M25" s="4"/>
      <c r="N25" s="3"/>
      <c r="O25" s="4"/>
      <c r="P25" s="4"/>
      <c r="Q25" s="4"/>
    </row>
    <row r="26" ht="15.75" customHeight="1">
      <c r="A26" s="4"/>
      <c r="B26" s="3"/>
      <c r="C26" s="3"/>
      <c r="D26" s="4"/>
      <c r="E26" s="4"/>
      <c r="F26" s="4" t="str">
        <f t="shared" si="2"/>
        <v>24/12/2025</v>
      </c>
      <c r="G26" s="39" t="s">
        <v>108</v>
      </c>
      <c r="H26" s="39">
        <v>-70000.0</v>
      </c>
      <c r="I26" s="3"/>
      <c r="J26" s="3"/>
      <c r="K26" s="4"/>
      <c r="L26" s="3"/>
      <c r="M26" s="4"/>
      <c r="N26" s="3"/>
      <c r="O26" s="4"/>
      <c r="P26" s="4"/>
      <c r="Q26" s="4"/>
    </row>
    <row r="27" ht="15.75" customHeight="1">
      <c r="A27" s="4"/>
      <c r="B27" s="3"/>
      <c r="C27" s="3"/>
      <c r="D27" s="4"/>
      <c r="E27" s="4"/>
      <c r="F27" s="4" t="str">
        <f t="shared" ref="F27:F28" si="5">ROW()-3&amp;"/"&amp;$C$1&amp;"/"&amp;$D$1</f>
        <v>24/12/2025</v>
      </c>
      <c r="G27" s="3" t="s">
        <v>109</v>
      </c>
      <c r="H27" s="3">
        <v>-1.486E7</v>
      </c>
      <c r="I27" s="3"/>
      <c r="J27" s="3"/>
      <c r="K27" s="4"/>
      <c r="L27" s="3"/>
      <c r="M27" s="4"/>
      <c r="N27" s="3"/>
      <c r="O27" s="4"/>
      <c r="P27" s="4"/>
      <c r="Q27" s="4"/>
    </row>
    <row r="28" ht="15.75" customHeight="1">
      <c r="A28" s="4"/>
      <c r="B28" s="3"/>
      <c r="C28" s="3"/>
      <c r="D28" s="4"/>
      <c r="E28" s="4"/>
      <c r="F28" s="4" t="str">
        <f t="shared" si="5"/>
        <v>25/12/2025</v>
      </c>
      <c r="G28" s="39" t="s">
        <v>110</v>
      </c>
      <c r="H28" s="39">
        <v>-1.17E7</v>
      </c>
      <c r="I28" s="3"/>
      <c r="J28" s="3"/>
      <c r="K28" s="4"/>
      <c r="L28" s="3"/>
      <c r="M28" s="4"/>
      <c r="N28" s="3"/>
      <c r="O28" s="4"/>
      <c r="P28" s="4"/>
      <c r="Q28" s="4"/>
    </row>
    <row r="29" ht="15.75" customHeight="1">
      <c r="A29" s="4"/>
      <c r="B29" s="3"/>
      <c r="C29" s="3"/>
      <c r="D29" s="4"/>
      <c r="E29" s="4"/>
      <c r="F29" s="4" t="str">
        <f t="shared" ref="F29:F35" si="6">ROW()-4&amp;"/"&amp;$C$1&amp;"/"&amp;$D$1</f>
        <v>25/12/2025</v>
      </c>
      <c r="G29" s="39" t="s">
        <v>111</v>
      </c>
      <c r="H29" s="3"/>
      <c r="I29" s="39">
        <v>309500.0</v>
      </c>
      <c r="J29" s="3"/>
      <c r="K29" s="4"/>
      <c r="L29" s="3"/>
      <c r="M29" s="4"/>
      <c r="N29" s="3"/>
      <c r="O29" s="4"/>
      <c r="P29" s="4"/>
      <c r="Q29" s="4"/>
    </row>
    <row r="30" ht="15.75" customHeight="1">
      <c r="A30" s="4"/>
      <c r="B30" s="3"/>
      <c r="C30" s="3"/>
      <c r="D30" s="4"/>
      <c r="E30" s="4"/>
      <c r="F30" s="4" t="str">
        <f t="shared" si="6"/>
        <v>26/12/2025</v>
      </c>
      <c r="G30" s="3"/>
      <c r="H30" s="3"/>
      <c r="I30" s="3"/>
      <c r="J30" s="3"/>
      <c r="K30" s="4"/>
      <c r="L30" s="3"/>
      <c r="M30" s="4"/>
      <c r="N30" s="3"/>
      <c r="O30" s="4"/>
      <c r="P30" s="4"/>
      <c r="Q30" s="4"/>
    </row>
    <row r="31" ht="15.75" customHeight="1">
      <c r="A31" s="4"/>
      <c r="B31" s="3"/>
      <c r="C31" s="3"/>
      <c r="D31" s="4"/>
      <c r="E31" s="4"/>
      <c r="F31" s="4" t="str">
        <f t="shared" si="6"/>
        <v>27/12/2025</v>
      </c>
      <c r="G31" s="3"/>
      <c r="H31" s="3"/>
      <c r="I31" s="3"/>
      <c r="J31" s="3"/>
      <c r="K31" s="4"/>
      <c r="L31" s="3"/>
      <c r="M31" s="4"/>
      <c r="N31" s="3"/>
      <c r="O31" s="4"/>
      <c r="P31" s="4"/>
      <c r="Q31" s="4"/>
    </row>
    <row r="32" ht="15.75" customHeight="1">
      <c r="A32" s="4"/>
      <c r="B32" s="3"/>
      <c r="C32" s="3"/>
      <c r="D32" s="4"/>
      <c r="E32" s="4"/>
      <c r="F32" s="4" t="str">
        <f t="shared" si="6"/>
        <v>28/12/2025</v>
      </c>
      <c r="G32" s="3"/>
      <c r="H32" s="3"/>
      <c r="I32" s="3"/>
      <c r="J32" s="3"/>
      <c r="K32" s="4"/>
      <c r="L32" s="3"/>
      <c r="M32" s="4"/>
      <c r="N32" s="3"/>
      <c r="O32" s="4"/>
      <c r="P32" s="4"/>
      <c r="Q32" s="4"/>
    </row>
    <row r="33" ht="15.75" customHeight="1">
      <c r="A33" s="4"/>
      <c r="B33" s="3"/>
      <c r="C33" s="3"/>
      <c r="D33" s="4"/>
      <c r="E33" s="4"/>
      <c r="F33" s="4" t="str">
        <f t="shared" si="6"/>
        <v>29/12/2025</v>
      </c>
      <c r="G33" s="3"/>
      <c r="H33" s="3"/>
      <c r="I33" s="3"/>
      <c r="J33" s="3"/>
      <c r="K33" s="4"/>
      <c r="L33" s="3"/>
      <c r="M33" s="4"/>
      <c r="N33" s="3"/>
      <c r="O33" s="4"/>
      <c r="P33" s="4"/>
      <c r="Q33" s="4"/>
    </row>
    <row r="34" ht="15.75" customHeight="1">
      <c r="A34" s="4"/>
      <c r="B34" s="3"/>
      <c r="C34" s="3"/>
      <c r="D34" s="4"/>
      <c r="E34" s="4"/>
      <c r="F34" s="4" t="str">
        <f t="shared" si="6"/>
        <v>30/12/2025</v>
      </c>
      <c r="G34" s="4"/>
      <c r="H34" s="3"/>
      <c r="I34" s="3"/>
      <c r="J34" s="4"/>
      <c r="K34" s="4"/>
      <c r="L34" s="3"/>
      <c r="M34" s="4"/>
      <c r="N34" s="3"/>
      <c r="O34" s="4"/>
      <c r="P34" s="4"/>
      <c r="Q34" s="4"/>
    </row>
    <row r="35" ht="15.75" customHeight="1">
      <c r="A35" s="4"/>
      <c r="B35" s="3"/>
      <c r="C35" s="3"/>
      <c r="D35" s="4"/>
      <c r="E35" s="4"/>
      <c r="F35" s="4" t="str">
        <f t="shared" si="6"/>
        <v>31/12/2025</v>
      </c>
      <c r="G35" s="4"/>
      <c r="H35" s="3"/>
      <c r="I35" s="3"/>
      <c r="J35" s="4"/>
      <c r="K35" s="4"/>
      <c r="L35" s="3"/>
      <c r="M35" s="4"/>
      <c r="N35" s="3"/>
      <c r="O35" s="4"/>
      <c r="P35" s="4"/>
      <c r="Q35" s="4"/>
    </row>
    <row r="36" ht="15.75" customHeight="1">
      <c r="A36" s="4"/>
      <c r="B36" s="3"/>
      <c r="C36" s="3"/>
      <c r="D36" s="4"/>
      <c r="E36" s="4"/>
      <c r="F36" s="4"/>
      <c r="G36" s="4"/>
      <c r="H36" s="3"/>
      <c r="I36" s="3"/>
      <c r="J36" s="4"/>
      <c r="K36" s="4"/>
      <c r="L36" s="3"/>
      <c r="M36" s="4"/>
      <c r="N36" s="3"/>
      <c r="O36" s="4"/>
      <c r="P36" s="4"/>
      <c r="Q36" s="4"/>
    </row>
    <row r="37" ht="15.75" customHeight="1">
      <c r="A37" s="4"/>
      <c r="B37" s="3"/>
      <c r="C37" s="3"/>
      <c r="D37" s="4"/>
      <c r="E37" s="4"/>
      <c r="F37" s="4"/>
      <c r="G37" s="4"/>
      <c r="H37" s="3"/>
      <c r="I37" s="3"/>
      <c r="J37" s="4"/>
      <c r="K37" s="4"/>
      <c r="L37" s="3"/>
      <c r="M37" s="4"/>
      <c r="N37" s="3"/>
      <c r="O37" s="4"/>
      <c r="P37" s="4"/>
      <c r="Q37" s="4"/>
    </row>
    <row r="38" ht="15.75" customHeight="1">
      <c r="A38" s="4"/>
      <c r="B38" s="3"/>
      <c r="C38" s="3"/>
      <c r="D38" s="4"/>
      <c r="E38" s="4"/>
      <c r="F38" s="4"/>
      <c r="G38" s="4"/>
      <c r="H38" s="3"/>
      <c r="I38" s="3"/>
      <c r="J38" s="4"/>
      <c r="K38" s="4"/>
      <c r="L38" s="3"/>
      <c r="M38" s="4"/>
      <c r="N38" s="3"/>
      <c r="O38" s="4"/>
      <c r="P38" s="4"/>
      <c r="Q38" s="4"/>
    </row>
    <row r="39" ht="15.75" customHeight="1">
      <c r="A39" s="4"/>
      <c r="B39" s="3"/>
      <c r="C39" s="3"/>
      <c r="D39" s="4"/>
      <c r="E39" s="4"/>
      <c r="F39" s="4"/>
      <c r="G39" s="4"/>
      <c r="H39" s="3"/>
      <c r="I39" s="3"/>
      <c r="J39" s="4"/>
      <c r="K39" s="4"/>
      <c r="L39" s="3"/>
      <c r="M39" s="4"/>
      <c r="N39" s="3"/>
      <c r="O39" s="4"/>
      <c r="P39" s="4"/>
      <c r="Q39" s="4"/>
    </row>
    <row r="40" ht="15.75" customHeight="1">
      <c r="A40" s="4"/>
      <c r="B40" s="3"/>
      <c r="C40" s="3"/>
      <c r="D40" s="4"/>
      <c r="E40" s="4"/>
      <c r="F40" s="4"/>
      <c r="G40" s="4"/>
      <c r="H40" s="3"/>
      <c r="I40" s="3"/>
      <c r="J40" s="4"/>
      <c r="K40" s="4"/>
      <c r="L40" s="3"/>
      <c r="M40" s="4"/>
      <c r="N40" s="3"/>
      <c r="O40" s="4"/>
      <c r="P40" s="4"/>
      <c r="Q40" s="4"/>
    </row>
    <row r="41" ht="15.75" customHeight="1">
      <c r="A41" s="4"/>
      <c r="B41" s="3"/>
      <c r="C41" s="3"/>
      <c r="D41" s="4"/>
      <c r="E41" s="4"/>
      <c r="F41" s="4"/>
      <c r="G41" s="4"/>
      <c r="H41" s="3"/>
      <c r="I41" s="3"/>
      <c r="J41" s="4"/>
      <c r="K41" s="4"/>
      <c r="L41" s="3"/>
      <c r="M41" s="4"/>
      <c r="N41" s="3"/>
      <c r="O41" s="4"/>
      <c r="P41" s="4"/>
      <c r="Q41" s="4"/>
    </row>
    <row r="42" ht="15.75" customHeight="1">
      <c r="A42" s="4"/>
      <c r="B42" s="3"/>
      <c r="C42" s="3"/>
      <c r="D42" s="4"/>
      <c r="E42" s="4"/>
      <c r="F42" s="4"/>
      <c r="G42" s="4"/>
      <c r="H42" s="3"/>
      <c r="I42" s="3"/>
      <c r="J42" s="4"/>
      <c r="K42" s="4"/>
      <c r="L42" s="3"/>
      <c r="M42" s="4"/>
      <c r="N42" s="3"/>
      <c r="O42" s="4"/>
      <c r="P42" s="4"/>
      <c r="Q42" s="4"/>
    </row>
    <row r="43" ht="15.75" customHeight="1">
      <c r="A43" s="4"/>
      <c r="B43" s="3"/>
      <c r="C43" s="3"/>
      <c r="D43" s="4"/>
      <c r="E43" s="4"/>
      <c r="F43" s="4"/>
      <c r="G43" s="4"/>
      <c r="H43" s="3"/>
      <c r="I43" s="3"/>
      <c r="J43" s="4"/>
      <c r="K43" s="4"/>
      <c r="L43" s="3"/>
      <c r="M43" s="4"/>
      <c r="N43" s="3"/>
      <c r="O43" s="4"/>
      <c r="P43" s="4"/>
      <c r="Q43" s="4"/>
    </row>
    <row r="44" ht="15.75" customHeight="1">
      <c r="A44" s="4"/>
      <c r="B44" s="3"/>
      <c r="C44" s="3"/>
      <c r="D44" s="4"/>
      <c r="E44" s="4"/>
      <c r="F44" s="4"/>
      <c r="G44" s="4"/>
      <c r="H44" s="3"/>
      <c r="I44" s="3"/>
      <c r="J44" s="4"/>
      <c r="K44" s="4"/>
      <c r="L44" s="3"/>
      <c r="M44" s="4"/>
      <c r="N44" s="3"/>
      <c r="O44" s="4"/>
      <c r="P44" s="4"/>
      <c r="Q44" s="4"/>
    </row>
    <row r="45" ht="15.75" customHeight="1">
      <c r="A45" s="4"/>
      <c r="B45" s="3"/>
      <c r="C45" s="3"/>
      <c r="D45" s="4"/>
      <c r="E45" s="4"/>
      <c r="F45" s="4"/>
      <c r="G45" s="4"/>
      <c r="H45" s="3"/>
      <c r="I45" s="3"/>
      <c r="J45" s="4"/>
      <c r="K45" s="4"/>
      <c r="L45" s="3"/>
      <c r="M45" s="4"/>
      <c r="N45" s="3"/>
      <c r="O45" s="4"/>
      <c r="P45" s="4"/>
      <c r="Q45" s="4"/>
    </row>
    <row r="46" ht="15.75" customHeight="1">
      <c r="A46" s="4"/>
      <c r="B46" s="3"/>
      <c r="C46" s="3"/>
      <c r="D46" s="4"/>
      <c r="E46" s="4"/>
      <c r="F46" s="4"/>
      <c r="G46" s="4"/>
      <c r="H46" s="3"/>
      <c r="I46" s="3"/>
      <c r="J46" s="4"/>
      <c r="K46" s="4"/>
      <c r="L46" s="3"/>
      <c r="M46" s="4"/>
      <c r="N46" s="3"/>
      <c r="O46" s="4"/>
      <c r="P46" s="4"/>
      <c r="Q46" s="4"/>
    </row>
    <row r="47" ht="15.75" customHeight="1">
      <c r="A47" s="4"/>
      <c r="B47" s="3"/>
      <c r="C47" s="3"/>
      <c r="D47" s="4"/>
      <c r="E47" s="4"/>
      <c r="F47" s="4"/>
      <c r="G47" s="4"/>
      <c r="H47" s="3"/>
      <c r="I47" s="3"/>
      <c r="J47" s="4"/>
      <c r="K47" s="4"/>
      <c r="L47" s="3"/>
      <c r="M47" s="4"/>
      <c r="N47" s="3"/>
      <c r="O47" s="4"/>
      <c r="P47" s="4"/>
      <c r="Q47" s="4"/>
    </row>
    <row r="48" ht="15.75" customHeight="1">
      <c r="A48" s="4"/>
      <c r="B48" s="3"/>
      <c r="C48" s="3"/>
      <c r="D48" s="4"/>
      <c r="E48" s="4"/>
      <c r="F48" s="4"/>
      <c r="G48" s="4"/>
      <c r="H48" s="3"/>
      <c r="I48" s="3"/>
      <c r="J48" s="4"/>
      <c r="K48" s="4"/>
      <c r="L48" s="3"/>
      <c r="M48" s="4"/>
      <c r="N48" s="3"/>
      <c r="O48" s="4"/>
      <c r="P48" s="4"/>
      <c r="Q48" s="4"/>
    </row>
    <row r="49" ht="15.75" customHeight="1">
      <c r="A49" s="4"/>
      <c r="B49" s="3"/>
      <c r="C49" s="3"/>
      <c r="D49" s="4"/>
      <c r="E49" s="4"/>
      <c r="F49" s="4"/>
      <c r="G49" s="4"/>
      <c r="H49" s="3"/>
      <c r="I49" s="3"/>
      <c r="J49" s="4"/>
      <c r="K49" s="4"/>
      <c r="L49" s="3"/>
      <c r="M49" s="4"/>
      <c r="N49" s="3"/>
      <c r="O49" s="4"/>
      <c r="P49" s="4"/>
      <c r="Q49" s="4"/>
    </row>
    <row r="50" ht="15.75" customHeight="1">
      <c r="A50" s="4"/>
      <c r="B50" s="3"/>
      <c r="C50" s="3"/>
      <c r="D50" s="4"/>
      <c r="E50" s="4"/>
      <c r="F50" s="4"/>
      <c r="G50" s="4"/>
      <c r="H50" s="3"/>
      <c r="I50" s="3"/>
      <c r="J50" s="4"/>
      <c r="K50" s="4"/>
      <c r="L50" s="3"/>
      <c r="M50" s="4"/>
      <c r="N50" s="3"/>
      <c r="O50" s="4"/>
      <c r="P50" s="4"/>
      <c r="Q50" s="4"/>
    </row>
    <row r="51" ht="15.75" customHeight="1">
      <c r="A51" s="4"/>
      <c r="B51" s="3"/>
      <c r="C51" s="3"/>
      <c r="D51" s="4"/>
      <c r="E51" s="4"/>
      <c r="F51" s="4"/>
      <c r="G51" s="4"/>
      <c r="H51" s="3"/>
      <c r="I51" s="3"/>
      <c r="J51" s="4"/>
      <c r="K51" s="4"/>
      <c r="L51" s="3"/>
      <c r="M51" s="4"/>
      <c r="N51" s="3"/>
      <c r="O51" s="4"/>
      <c r="P51" s="4"/>
      <c r="Q51" s="4"/>
    </row>
    <row r="52" ht="15.75" customHeight="1">
      <c r="A52" s="4"/>
      <c r="B52" s="3"/>
      <c r="C52" s="3"/>
      <c r="D52" s="4"/>
      <c r="E52" s="4"/>
      <c r="F52" s="4"/>
      <c r="G52" s="4"/>
      <c r="H52" s="3"/>
      <c r="I52" s="3"/>
      <c r="J52" s="4"/>
      <c r="K52" s="4"/>
      <c r="L52" s="3"/>
      <c r="M52" s="4"/>
      <c r="N52" s="3"/>
      <c r="O52" s="4"/>
      <c r="P52" s="4"/>
      <c r="Q52" s="4"/>
    </row>
    <row r="53" ht="15.75" customHeight="1">
      <c r="A53" s="4"/>
      <c r="B53" s="3"/>
      <c r="C53" s="3"/>
      <c r="D53" s="4"/>
      <c r="E53" s="4"/>
      <c r="F53" s="4"/>
      <c r="G53" s="4"/>
      <c r="H53" s="3"/>
      <c r="I53" s="3"/>
      <c r="J53" s="4"/>
      <c r="K53" s="4"/>
      <c r="L53" s="3"/>
      <c r="M53" s="4"/>
      <c r="N53" s="3"/>
      <c r="O53" s="4"/>
      <c r="P53" s="4"/>
      <c r="Q53" s="4"/>
    </row>
    <row r="54" ht="15.75" customHeight="1">
      <c r="A54" s="4"/>
      <c r="B54" s="3"/>
      <c r="C54" s="3"/>
      <c r="D54" s="4"/>
      <c r="E54" s="4"/>
      <c r="F54" s="4"/>
      <c r="G54" s="4"/>
      <c r="H54" s="3"/>
      <c r="I54" s="3"/>
      <c r="J54" s="4"/>
      <c r="K54" s="4"/>
      <c r="L54" s="3"/>
      <c r="M54" s="4"/>
      <c r="N54" s="3"/>
      <c r="O54" s="4"/>
      <c r="P54" s="4"/>
      <c r="Q54" s="4"/>
    </row>
    <row r="55" ht="15.75" customHeight="1">
      <c r="A55" s="4"/>
      <c r="B55" s="3"/>
      <c r="C55" s="3"/>
      <c r="D55" s="4"/>
      <c r="E55" s="4"/>
      <c r="F55" s="4"/>
      <c r="G55" s="4"/>
      <c r="H55" s="3"/>
      <c r="I55" s="3"/>
      <c r="J55" s="4"/>
      <c r="K55" s="4"/>
      <c r="L55" s="3"/>
      <c r="M55" s="4"/>
      <c r="N55" s="3"/>
      <c r="O55" s="4"/>
      <c r="P55" s="4"/>
      <c r="Q55" s="4"/>
    </row>
    <row r="56" ht="15.75" customHeight="1">
      <c r="A56" s="4"/>
      <c r="B56" s="3"/>
      <c r="C56" s="3"/>
      <c r="D56" s="4"/>
      <c r="E56" s="4"/>
      <c r="F56" s="4"/>
      <c r="G56" s="4"/>
      <c r="H56" s="3"/>
      <c r="I56" s="3"/>
      <c r="J56" s="4"/>
      <c r="K56" s="4"/>
      <c r="L56" s="3"/>
      <c r="M56" s="4"/>
      <c r="N56" s="3"/>
      <c r="O56" s="4"/>
      <c r="P56" s="4"/>
      <c r="Q56" s="4"/>
    </row>
    <row r="57" ht="15.75" customHeight="1">
      <c r="A57" s="4"/>
      <c r="B57" s="3"/>
      <c r="C57" s="3"/>
      <c r="D57" s="4"/>
      <c r="E57" s="4"/>
      <c r="F57" s="4"/>
      <c r="G57" s="4"/>
      <c r="H57" s="3"/>
      <c r="I57" s="3"/>
      <c r="J57" s="4"/>
      <c r="K57" s="4"/>
      <c r="L57" s="3"/>
      <c r="M57" s="4"/>
      <c r="N57" s="3"/>
      <c r="O57" s="4"/>
      <c r="P57" s="4"/>
      <c r="Q57" s="4"/>
    </row>
    <row r="58" ht="15.75" customHeight="1">
      <c r="A58" s="4"/>
      <c r="B58" s="3"/>
      <c r="C58" s="3"/>
      <c r="D58" s="4"/>
      <c r="E58" s="4"/>
      <c r="F58" s="4"/>
      <c r="G58" s="4"/>
      <c r="H58" s="3"/>
      <c r="I58" s="3"/>
      <c r="J58" s="4"/>
      <c r="K58" s="4"/>
      <c r="L58" s="3"/>
      <c r="M58" s="4"/>
      <c r="N58" s="3"/>
      <c r="O58" s="4"/>
      <c r="P58" s="4"/>
      <c r="Q58" s="4"/>
    </row>
    <row r="59" ht="15.75" customHeight="1">
      <c r="A59" s="4"/>
      <c r="B59" s="3"/>
      <c r="C59" s="3"/>
      <c r="D59" s="4"/>
      <c r="E59" s="4"/>
      <c r="F59" s="4"/>
      <c r="G59" s="4"/>
      <c r="H59" s="3"/>
      <c r="I59" s="3"/>
      <c r="J59" s="4"/>
      <c r="K59" s="4"/>
      <c r="L59" s="3"/>
      <c r="M59" s="4"/>
      <c r="N59" s="3"/>
      <c r="O59" s="4"/>
      <c r="P59" s="4"/>
      <c r="Q59" s="4"/>
    </row>
    <row r="60" ht="15.75" customHeight="1">
      <c r="A60" s="4"/>
      <c r="B60" s="3"/>
      <c r="C60" s="3"/>
      <c r="D60" s="4"/>
      <c r="E60" s="4"/>
      <c r="F60" s="4"/>
      <c r="G60" s="4"/>
      <c r="H60" s="3"/>
      <c r="I60" s="3"/>
      <c r="J60" s="4"/>
      <c r="K60" s="4"/>
      <c r="L60" s="3"/>
      <c r="M60" s="4"/>
      <c r="N60" s="3"/>
      <c r="O60" s="4"/>
      <c r="P60" s="4"/>
      <c r="Q60" s="4"/>
    </row>
    <row r="61" ht="15.75" customHeight="1">
      <c r="A61" s="4"/>
      <c r="B61" s="3"/>
      <c r="C61" s="3"/>
      <c r="D61" s="4"/>
      <c r="E61" s="4"/>
      <c r="F61" s="4"/>
      <c r="G61" s="4"/>
      <c r="H61" s="3"/>
      <c r="I61" s="3"/>
      <c r="J61" s="4"/>
      <c r="K61" s="4"/>
      <c r="L61" s="3"/>
      <c r="M61" s="4"/>
      <c r="N61" s="3"/>
      <c r="O61" s="4"/>
      <c r="P61" s="4"/>
      <c r="Q61" s="4"/>
    </row>
    <row r="62" ht="15.75" customHeight="1">
      <c r="A62" s="4"/>
      <c r="B62" s="3"/>
      <c r="C62" s="3"/>
      <c r="D62" s="4"/>
      <c r="E62" s="4"/>
      <c r="F62" s="4"/>
      <c r="G62" s="4"/>
      <c r="H62" s="3"/>
      <c r="I62" s="3"/>
      <c r="J62" s="4"/>
      <c r="K62" s="4"/>
      <c r="L62" s="3"/>
      <c r="M62" s="4"/>
      <c r="N62" s="3"/>
      <c r="O62" s="4"/>
      <c r="P62" s="4"/>
      <c r="Q62" s="4"/>
    </row>
    <row r="63" ht="15.75" customHeight="1">
      <c r="A63" s="4"/>
      <c r="B63" s="3"/>
      <c r="C63" s="3"/>
      <c r="D63" s="4"/>
      <c r="E63" s="4"/>
      <c r="F63" s="4"/>
      <c r="G63" s="4"/>
      <c r="H63" s="3"/>
      <c r="I63" s="3"/>
      <c r="J63" s="4"/>
      <c r="K63" s="4"/>
      <c r="L63" s="3"/>
      <c r="M63" s="4"/>
      <c r="N63" s="3"/>
      <c r="O63" s="4"/>
      <c r="P63" s="4"/>
      <c r="Q63" s="4"/>
    </row>
    <row r="64" ht="15.75" customHeight="1">
      <c r="A64" s="4"/>
      <c r="B64" s="3"/>
      <c r="C64" s="3"/>
      <c r="D64" s="4"/>
      <c r="E64" s="4"/>
      <c r="F64" s="4"/>
      <c r="G64" s="4"/>
      <c r="H64" s="3"/>
      <c r="I64" s="3"/>
      <c r="J64" s="4"/>
      <c r="K64" s="4"/>
      <c r="L64" s="3"/>
      <c r="M64" s="4"/>
      <c r="N64" s="3"/>
      <c r="O64" s="4"/>
      <c r="P64" s="4"/>
      <c r="Q64" s="4"/>
    </row>
    <row r="65" ht="15.75" customHeight="1">
      <c r="A65" s="4"/>
      <c r="B65" s="3"/>
      <c r="C65" s="3"/>
      <c r="D65" s="4"/>
      <c r="E65" s="4"/>
      <c r="F65" s="4"/>
      <c r="G65" s="4"/>
      <c r="H65" s="3"/>
      <c r="I65" s="3"/>
      <c r="J65" s="4"/>
      <c r="K65" s="4"/>
      <c r="L65" s="3"/>
      <c r="M65" s="4"/>
      <c r="N65" s="3"/>
      <c r="O65" s="4"/>
      <c r="P65" s="4"/>
      <c r="Q65" s="4"/>
    </row>
    <row r="66" ht="15.75" customHeight="1">
      <c r="A66" s="4"/>
      <c r="B66" s="3"/>
      <c r="C66" s="3"/>
      <c r="D66" s="4"/>
      <c r="E66" s="4"/>
      <c r="F66" s="4"/>
      <c r="G66" s="4"/>
      <c r="H66" s="3"/>
      <c r="I66" s="3"/>
      <c r="J66" s="4"/>
      <c r="K66" s="4"/>
      <c r="L66" s="3"/>
      <c r="M66" s="4"/>
      <c r="N66" s="3"/>
      <c r="O66" s="4"/>
      <c r="P66" s="4"/>
      <c r="Q66" s="4"/>
    </row>
    <row r="67" ht="15.75" customHeight="1">
      <c r="A67" s="4"/>
      <c r="B67" s="3"/>
      <c r="C67" s="3"/>
      <c r="D67" s="4"/>
      <c r="E67" s="4"/>
      <c r="F67" s="4"/>
      <c r="G67" s="4"/>
      <c r="H67" s="3"/>
      <c r="I67" s="3"/>
      <c r="J67" s="4"/>
      <c r="K67" s="4"/>
      <c r="L67" s="3"/>
      <c r="M67" s="4"/>
      <c r="N67" s="3"/>
      <c r="O67" s="4"/>
      <c r="P67" s="4"/>
      <c r="Q67" s="4"/>
    </row>
    <row r="68" ht="15.75" customHeight="1">
      <c r="A68" s="4"/>
      <c r="B68" s="3"/>
      <c r="C68" s="3"/>
      <c r="D68" s="4"/>
      <c r="E68" s="4"/>
      <c r="F68" s="4"/>
      <c r="G68" s="4"/>
      <c r="H68" s="3"/>
      <c r="I68" s="3"/>
      <c r="J68" s="4"/>
      <c r="K68" s="4"/>
      <c r="L68" s="3"/>
      <c r="M68" s="4"/>
      <c r="N68" s="3"/>
      <c r="O68" s="4"/>
      <c r="P68" s="4"/>
      <c r="Q68" s="4"/>
    </row>
    <row r="69" ht="15.75" customHeight="1">
      <c r="A69" s="4"/>
      <c r="B69" s="3"/>
      <c r="C69" s="3"/>
      <c r="D69" s="4"/>
      <c r="E69" s="4"/>
      <c r="F69" s="4"/>
      <c r="G69" s="4"/>
      <c r="H69" s="3"/>
      <c r="I69" s="3"/>
      <c r="J69" s="4"/>
      <c r="K69" s="4"/>
      <c r="L69" s="3"/>
      <c r="M69" s="4"/>
      <c r="N69" s="3"/>
      <c r="O69" s="4"/>
      <c r="P69" s="4"/>
      <c r="Q69" s="4"/>
    </row>
    <row r="70" ht="15.75" customHeight="1">
      <c r="A70" s="4"/>
      <c r="B70" s="3"/>
      <c r="C70" s="3"/>
      <c r="D70" s="4"/>
      <c r="E70" s="4"/>
      <c r="F70" s="4"/>
      <c r="G70" s="4"/>
      <c r="H70" s="3"/>
      <c r="I70" s="3"/>
      <c r="J70" s="4"/>
      <c r="K70" s="4"/>
      <c r="L70" s="3"/>
      <c r="M70" s="4"/>
      <c r="N70" s="3"/>
      <c r="O70" s="4"/>
      <c r="P70" s="4"/>
      <c r="Q70" s="4"/>
    </row>
    <row r="71" ht="15.75" customHeight="1">
      <c r="A71" s="4"/>
      <c r="B71" s="3"/>
      <c r="C71" s="3"/>
      <c r="D71" s="4"/>
      <c r="E71" s="4"/>
      <c r="F71" s="4"/>
      <c r="G71" s="4"/>
      <c r="H71" s="3"/>
      <c r="I71" s="3"/>
      <c r="J71" s="4"/>
      <c r="K71" s="4"/>
      <c r="L71" s="3"/>
      <c r="M71" s="4"/>
      <c r="N71" s="3"/>
      <c r="O71" s="4"/>
      <c r="P71" s="4"/>
      <c r="Q71" s="4"/>
    </row>
    <row r="72" ht="15.75" customHeight="1">
      <c r="A72" s="4"/>
      <c r="B72" s="3"/>
      <c r="C72" s="3"/>
      <c r="D72" s="4"/>
      <c r="E72" s="4"/>
      <c r="F72" s="4"/>
      <c r="G72" s="4"/>
      <c r="H72" s="3"/>
      <c r="I72" s="3"/>
      <c r="J72" s="4"/>
      <c r="K72" s="4"/>
      <c r="L72" s="3"/>
      <c r="M72" s="4"/>
      <c r="N72" s="3"/>
      <c r="O72" s="4"/>
      <c r="P72" s="4"/>
      <c r="Q72" s="4"/>
    </row>
    <row r="73" ht="15.75" customHeight="1">
      <c r="A73" s="4"/>
      <c r="B73" s="3"/>
      <c r="C73" s="3"/>
      <c r="D73" s="4"/>
      <c r="E73" s="4"/>
      <c r="F73" s="4"/>
      <c r="G73" s="4"/>
      <c r="H73" s="3"/>
      <c r="I73" s="3"/>
      <c r="J73" s="4"/>
      <c r="K73" s="4"/>
      <c r="L73" s="3"/>
      <c r="M73" s="4"/>
      <c r="N73" s="3"/>
      <c r="O73" s="4"/>
      <c r="P73" s="4"/>
      <c r="Q73" s="4"/>
    </row>
    <row r="74" ht="15.75" customHeight="1">
      <c r="A74" s="4"/>
      <c r="B74" s="3"/>
      <c r="C74" s="3"/>
      <c r="D74" s="4"/>
      <c r="E74" s="4"/>
      <c r="F74" s="4"/>
      <c r="G74" s="4"/>
      <c r="H74" s="3"/>
      <c r="I74" s="3"/>
      <c r="J74" s="4"/>
      <c r="K74" s="4"/>
      <c r="L74" s="3"/>
      <c r="M74" s="4"/>
      <c r="N74" s="3"/>
      <c r="O74" s="4"/>
      <c r="P74" s="4"/>
      <c r="Q74" s="4"/>
    </row>
    <row r="75" ht="15.75" customHeight="1">
      <c r="A75" s="4"/>
      <c r="B75" s="3"/>
      <c r="C75" s="3"/>
      <c r="D75" s="4"/>
      <c r="E75" s="4"/>
      <c r="F75" s="4"/>
      <c r="G75" s="4"/>
      <c r="H75" s="3"/>
      <c r="I75" s="3"/>
      <c r="J75" s="4"/>
      <c r="K75" s="4"/>
      <c r="L75" s="3"/>
      <c r="M75" s="4"/>
      <c r="N75" s="3"/>
      <c r="O75" s="4"/>
      <c r="P75" s="4"/>
      <c r="Q75" s="4"/>
    </row>
    <row r="76" ht="15.75" customHeight="1">
      <c r="A76" s="4"/>
      <c r="B76" s="3"/>
      <c r="C76" s="3"/>
      <c r="D76" s="4"/>
      <c r="E76" s="4"/>
      <c r="F76" s="4"/>
      <c r="G76" s="4"/>
      <c r="H76" s="3"/>
      <c r="I76" s="3"/>
      <c r="J76" s="4"/>
      <c r="K76" s="4"/>
      <c r="L76" s="3"/>
      <c r="M76" s="4"/>
      <c r="N76" s="3"/>
      <c r="O76" s="4"/>
      <c r="P76" s="4"/>
      <c r="Q76" s="4"/>
    </row>
    <row r="77" ht="15.75" customHeight="1">
      <c r="A77" s="4"/>
      <c r="B77" s="3"/>
      <c r="C77" s="3"/>
      <c r="D77" s="4"/>
      <c r="E77" s="4"/>
      <c r="F77" s="4"/>
      <c r="G77" s="4"/>
      <c r="H77" s="3"/>
      <c r="I77" s="3"/>
      <c r="J77" s="4"/>
      <c r="K77" s="4"/>
      <c r="L77" s="3"/>
      <c r="M77" s="4"/>
      <c r="N77" s="3"/>
      <c r="O77" s="4"/>
      <c r="P77" s="4"/>
      <c r="Q77" s="4"/>
    </row>
    <row r="78" ht="15.75" customHeight="1">
      <c r="A78" s="4"/>
      <c r="B78" s="3"/>
      <c r="C78" s="3"/>
      <c r="D78" s="4"/>
      <c r="E78" s="4"/>
      <c r="F78" s="4"/>
      <c r="G78" s="4"/>
      <c r="H78" s="3"/>
      <c r="I78" s="3"/>
      <c r="J78" s="4"/>
      <c r="K78" s="4"/>
      <c r="L78" s="3"/>
      <c r="M78" s="4"/>
      <c r="N78" s="3"/>
      <c r="O78" s="4"/>
      <c r="P78" s="4"/>
      <c r="Q78" s="4"/>
    </row>
    <row r="79" ht="15.75" customHeight="1">
      <c r="A79" s="4"/>
      <c r="B79" s="3"/>
      <c r="C79" s="3"/>
      <c r="D79" s="4"/>
      <c r="E79" s="4"/>
      <c r="F79" s="4"/>
      <c r="G79" s="4"/>
      <c r="H79" s="3"/>
      <c r="I79" s="3"/>
      <c r="J79" s="4"/>
      <c r="K79" s="4"/>
      <c r="L79" s="3"/>
      <c r="M79" s="4"/>
      <c r="N79" s="3"/>
      <c r="O79" s="4"/>
      <c r="P79" s="4"/>
      <c r="Q79" s="4"/>
    </row>
    <row r="80" ht="15.75" customHeight="1">
      <c r="A80" s="4"/>
      <c r="B80" s="3"/>
      <c r="C80" s="3"/>
      <c r="D80" s="4"/>
      <c r="E80" s="4"/>
      <c r="F80" s="4"/>
      <c r="G80" s="4"/>
      <c r="H80" s="3"/>
      <c r="I80" s="3"/>
      <c r="J80" s="4"/>
      <c r="K80" s="4"/>
      <c r="L80" s="3"/>
      <c r="M80" s="4"/>
      <c r="N80" s="3"/>
      <c r="O80" s="4"/>
      <c r="P80" s="4"/>
      <c r="Q80" s="4"/>
    </row>
    <row r="81" ht="15.75" customHeight="1">
      <c r="A81" s="4"/>
      <c r="B81" s="3"/>
      <c r="C81" s="3"/>
      <c r="D81" s="4"/>
      <c r="E81" s="4"/>
      <c r="F81" s="4"/>
      <c r="G81" s="4"/>
      <c r="H81" s="3"/>
      <c r="I81" s="3"/>
      <c r="J81" s="4"/>
      <c r="K81" s="4"/>
      <c r="L81" s="3"/>
      <c r="M81" s="4"/>
      <c r="N81" s="3"/>
      <c r="O81" s="4"/>
      <c r="P81" s="4"/>
      <c r="Q81" s="4"/>
    </row>
    <row r="82" ht="15.75" customHeight="1">
      <c r="A82" s="4"/>
      <c r="B82" s="3"/>
      <c r="C82" s="3"/>
      <c r="D82" s="4"/>
      <c r="E82" s="4"/>
      <c r="F82" s="4"/>
      <c r="G82" s="4"/>
      <c r="H82" s="3"/>
      <c r="I82" s="3"/>
      <c r="J82" s="4"/>
      <c r="K82" s="4"/>
      <c r="L82" s="3"/>
      <c r="M82" s="4"/>
      <c r="N82" s="3"/>
      <c r="O82" s="4"/>
      <c r="P82" s="4"/>
      <c r="Q82" s="4"/>
    </row>
    <row r="83" ht="15.75" customHeight="1">
      <c r="A83" s="4"/>
      <c r="B83" s="3"/>
      <c r="C83" s="3"/>
      <c r="D83" s="4"/>
      <c r="E83" s="4"/>
      <c r="F83" s="4"/>
      <c r="G83" s="4"/>
      <c r="H83" s="3"/>
      <c r="I83" s="3"/>
      <c r="J83" s="4"/>
      <c r="K83" s="4"/>
      <c r="L83" s="3"/>
      <c r="M83" s="4"/>
      <c r="N83" s="3"/>
      <c r="O83" s="4"/>
      <c r="P83" s="4"/>
      <c r="Q83" s="4"/>
    </row>
    <row r="84" ht="15.75" customHeight="1">
      <c r="A84" s="4"/>
      <c r="B84" s="3"/>
      <c r="C84" s="3"/>
      <c r="D84" s="4"/>
      <c r="E84" s="4"/>
      <c r="F84" s="4"/>
      <c r="G84" s="4"/>
      <c r="H84" s="3"/>
      <c r="I84" s="3"/>
      <c r="J84" s="4"/>
      <c r="K84" s="4"/>
      <c r="L84" s="3"/>
      <c r="M84" s="4"/>
      <c r="N84" s="3"/>
      <c r="O84" s="4"/>
      <c r="P84" s="4"/>
      <c r="Q84" s="4"/>
    </row>
    <row r="85" ht="15.75" customHeight="1">
      <c r="A85" s="4"/>
      <c r="B85" s="3"/>
      <c r="C85" s="3"/>
      <c r="D85" s="4"/>
      <c r="E85" s="4"/>
      <c r="F85" s="4"/>
      <c r="G85" s="4"/>
      <c r="H85" s="3"/>
      <c r="I85" s="3"/>
      <c r="J85" s="4"/>
      <c r="K85" s="4"/>
      <c r="L85" s="3"/>
      <c r="M85" s="4"/>
      <c r="N85" s="3"/>
      <c r="O85" s="4"/>
      <c r="P85" s="4"/>
      <c r="Q85" s="4"/>
    </row>
    <row r="86" ht="15.75" customHeight="1">
      <c r="A86" s="4"/>
      <c r="B86" s="3"/>
      <c r="C86" s="3"/>
      <c r="D86" s="4"/>
      <c r="E86" s="4"/>
      <c r="F86" s="4"/>
      <c r="G86" s="4"/>
      <c r="H86" s="3"/>
      <c r="I86" s="3"/>
      <c r="J86" s="4"/>
      <c r="K86" s="4"/>
      <c r="L86" s="3"/>
      <c r="M86" s="4"/>
      <c r="N86" s="3"/>
      <c r="O86" s="4"/>
      <c r="P86" s="4"/>
      <c r="Q86" s="4"/>
    </row>
    <row r="87" ht="15.75" customHeight="1">
      <c r="A87" s="4"/>
      <c r="B87" s="3"/>
      <c r="C87" s="3"/>
      <c r="D87" s="4"/>
      <c r="E87" s="4"/>
      <c r="F87" s="4"/>
      <c r="G87" s="4"/>
      <c r="H87" s="3"/>
      <c r="I87" s="3"/>
      <c r="J87" s="4"/>
      <c r="K87" s="4"/>
      <c r="L87" s="3"/>
      <c r="M87" s="4"/>
      <c r="N87" s="3"/>
      <c r="O87" s="4"/>
      <c r="P87" s="4"/>
      <c r="Q87" s="4"/>
    </row>
    <row r="88" ht="15.75" customHeight="1">
      <c r="A88" s="4"/>
      <c r="B88" s="3"/>
      <c r="C88" s="3"/>
      <c r="D88" s="4"/>
      <c r="E88" s="4"/>
      <c r="F88" s="4"/>
      <c r="G88" s="4"/>
      <c r="H88" s="3"/>
      <c r="I88" s="3"/>
      <c r="J88" s="4"/>
      <c r="K88" s="4"/>
      <c r="L88" s="3"/>
      <c r="M88" s="4"/>
      <c r="N88" s="3"/>
      <c r="O88" s="4"/>
      <c r="P88" s="4"/>
      <c r="Q88" s="4"/>
    </row>
    <row r="89" ht="15.75" customHeight="1">
      <c r="A89" s="4"/>
      <c r="B89" s="3"/>
      <c r="C89" s="3"/>
      <c r="D89" s="4"/>
      <c r="E89" s="4"/>
      <c r="F89" s="4"/>
      <c r="G89" s="4"/>
      <c r="H89" s="3"/>
      <c r="I89" s="3"/>
      <c r="J89" s="4"/>
      <c r="K89" s="4"/>
      <c r="L89" s="3"/>
      <c r="M89" s="4"/>
      <c r="N89" s="3"/>
      <c r="O89" s="4"/>
      <c r="P89" s="4"/>
      <c r="Q89" s="4"/>
    </row>
    <row r="90" ht="15.75" customHeight="1">
      <c r="A90" s="4"/>
      <c r="B90" s="3"/>
      <c r="C90" s="3"/>
      <c r="D90" s="4"/>
      <c r="E90" s="4"/>
      <c r="F90" s="4"/>
      <c r="G90" s="4"/>
      <c r="H90" s="3"/>
      <c r="I90" s="3"/>
      <c r="J90" s="4"/>
      <c r="K90" s="4"/>
      <c r="L90" s="3"/>
      <c r="M90" s="4"/>
      <c r="N90" s="3"/>
      <c r="O90" s="4"/>
      <c r="P90" s="4"/>
      <c r="Q90" s="4"/>
    </row>
    <row r="91" ht="15.75" customHeight="1">
      <c r="A91" s="4"/>
      <c r="B91" s="3"/>
      <c r="C91" s="3"/>
      <c r="D91" s="4"/>
      <c r="E91" s="4"/>
      <c r="F91" s="4"/>
      <c r="G91" s="4"/>
      <c r="H91" s="3"/>
      <c r="I91" s="3"/>
      <c r="J91" s="4"/>
      <c r="K91" s="4"/>
      <c r="L91" s="3"/>
      <c r="M91" s="4"/>
      <c r="N91" s="3"/>
      <c r="O91" s="4"/>
      <c r="P91" s="4"/>
      <c r="Q91" s="4"/>
    </row>
    <row r="92" ht="15.75" customHeight="1">
      <c r="A92" s="4"/>
      <c r="B92" s="3"/>
      <c r="C92" s="3"/>
      <c r="D92" s="4"/>
      <c r="E92" s="4"/>
      <c r="F92" s="4"/>
      <c r="G92" s="4"/>
      <c r="H92" s="3"/>
      <c r="I92" s="3"/>
      <c r="J92" s="4"/>
      <c r="K92" s="4"/>
      <c r="L92" s="3"/>
      <c r="M92" s="4"/>
      <c r="N92" s="3"/>
      <c r="O92" s="4"/>
      <c r="P92" s="4"/>
      <c r="Q92" s="4"/>
    </row>
    <row r="93" ht="15.75" customHeight="1">
      <c r="A93" s="4"/>
      <c r="B93" s="3"/>
      <c r="C93" s="3"/>
      <c r="D93" s="4"/>
      <c r="E93" s="4"/>
      <c r="F93" s="4"/>
      <c r="G93" s="4"/>
      <c r="H93" s="3"/>
      <c r="I93" s="3"/>
      <c r="J93" s="4"/>
      <c r="K93" s="4"/>
      <c r="L93" s="3"/>
      <c r="M93" s="4"/>
      <c r="N93" s="3"/>
      <c r="O93" s="4"/>
      <c r="P93" s="4"/>
      <c r="Q93" s="4"/>
    </row>
    <row r="94" ht="15.75" customHeight="1">
      <c r="A94" s="4"/>
      <c r="B94" s="3"/>
      <c r="C94" s="3"/>
      <c r="D94" s="4"/>
      <c r="E94" s="4"/>
      <c r="F94" s="4"/>
      <c r="G94" s="4"/>
      <c r="H94" s="3"/>
      <c r="I94" s="3"/>
      <c r="J94" s="4"/>
      <c r="K94" s="4"/>
      <c r="L94" s="3"/>
      <c r="M94" s="4"/>
      <c r="N94" s="3"/>
      <c r="O94" s="4"/>
      <c r="P94" s="4"/>
      <c r="Q94" s="4"/>
    </row>
    <row r="95" ht="15.75" customHeight="1">
      <c r="A95" s="4"/>
      <c r="B95" s="3"/>
      <c r="C95" s="3"/>
      <c r="D95" s="4"/>
      <c r="E95" s="4"/>
      <c r="F95" s="4"/>
      <c r="G95" s="4"/>
      <c r="H95" s="3"/>
      <c r="I95" s="3"/>
      <c r="J95" s="4"/>
      <c r="K95" s="4"/>
      <c r="L95" s="3"/>
      <c r="M95" s="4"/>
      <c r="N95" s="3"/>
      <c r="O95" s="4"/>
      <c r="P95" s="4"/>
      <c r="Q95" s="4"/>
    </row>
    <row r="96" ht="15.75" customHeight="1">
      <c r="A96" s="4"/>
      <c r="B96" s="3"/>
      <c r="C96" s="3"/>
      <c r="D96" s="4"/>
      <c r="E96" s="4"/>
      <c r="F96" s="4"/>
      <c r="G96" s="4"/>
      <c r="H96" s="3"/>
      <c r="I96" s="3"/>
      <c r="J96" s="4"/>
      <c r="K96" s="4"/>
      <c r="L96" s="3"/>
      <c r="M96" s="4"/>
      <c r="N96" s="3"/>
      <c r="O96" s="4"/>
      <c r="P96" s="4"/>
      <c r="Q96" s="4"/>
    </row>
    <row r="97" ht="15.75" customHeight="1">
      <c r="A97" s="4"/>
      <c r="B97" s="3"/>
      <c r="C97" s="3"/>
      <c r="D97" s="4"/>
      <c r="E97" s="4"/>
      <c r="F97" s="4"/>
      <c r="G97" s="4"/>
      <c r="H97" s="3"/>
      <c r="I97" s="3"/>
      <c r="J97" s="4"/>
      <c r="K97" s="4"/>
      <c r="L97" s="3"/>
      <c r="M97" s="4"/>
      <c r="N97" s="3"/>
      <c r="O97" s="4"/>
      <c r="P97" s="4"/>
      <c r="Q97" s="4"/>
    </row>
    <row r="98" ht="15.75" customHeight="1">
      <c r="A98" s="4"/>
      <c r="B98" s="3"/>
      <c r="C98" s="3"/>
      <c r="D98" s="4"/>
      <c r="E98" s="4"/>
      <c r="F98" s="4"/>
      <c r="G98" s="4"/>
      <c r="H98" s="3"/>
      <c r="I98" s="3"/>
      <c r="J98" s="4"/>
      <c r="K98" s="4"/>
      <c r="L98" s="3"/>
      <c r="M98" s="4"/>
      <c r="N98" s="3"/>
      <c r="O98" s="4"/>
      <c r="P98" s="4"/>
      <c r="Q98" s="4"/>
    </row>
    <row r="99" ht="15.75" customHeight="1">
      <c r="A99" s="4"/>
      <c r="B99" s="3"/>
      <c r="C99" s="3"/>
      <c r="D99" s="4"/>
      <c r="E99" s="4"/>
      <c r="F99" s="4"/>
      <c r="G99" s="4"/>
      <c r="H99" s="3"/>
      <c r="I99" s="3"/>
      <c r="J99" s="4"/>
      <c r="K99" s="4"/>
      <c r="L99" s="3"/>
      <c r="M99" s="4"/>
      <c r="N99" s="3"/>
      <c r="O99" s="4"/>
      <c r="P99" s="4"/>
      <c r="Q99" s="4"/>
    </row>
    <row r="100" ht="15.75" customHeight="1">
      <c r="A100" s="4"/>
      <c r="B100" s="3"/>
      <c r="C100" s="3"/>
      <c r="D100" s="4"/>
      <c r="E100" s="4"/>
      <c r="F100" s="4"/>
      <c r="G100" s="4"/>
      <c r="H100" s="3"/>
      <c r="I100" s="3"/>
      <c r="J100" s="4"/>
      <c r="K100" s="4"/>
      <c r="L100" s="3"/>
      <c r="M100" s="4"/>
      <c r="N100" s="3"/>
      <c r="O100" s="4"/>
      <c r="P100" s="4"/>
      <c r="Q100" s="4"/>
    </row>
    <row r="101" ht="15.75" customHeight="1">
      <c r="A101" s="4"/>
      <c r="B101" s="3"/>
      <c r="C101" s="3"/>
      <c r="D101" s="4"/>
      <c r="E101" s="4"/>
      <c r="F101" s="4"/>
      <c r="G101" s="4"/>
      <c r="H101" s="3"/>
      <c r="I101" s="3"/>
      <c r="J101" s="4"/>
      <c r="K101" s="4"/>
      <c r="L101" s="3"/>
      <c r="M101" s="4"/>
      <c r="N101" s="3"/>
      <c r="O101" s="4"/>
      <c r="P101" s="4"/>
      <c r="Q101" s="4"/>
    </row>
    <row r="102" ht="15.75" customHeight="1">
      <c r="A102" s="4"/>
      <c r="B102" s="3"/>
      <c r="C102" s="3"/>
      <c r="D102" s="4"/>
      <c r="E102" s="4"/>
      <c r="F102" s="4"/>
      <c r="G102" s="4"/>
      <c r="H102" s="3"/>
      <c r="I102" s="3"/>
      <c r="J102" s="4"/>
      <c r="K102" s="4"/>
      <c r="L102" s="3"/>
      <c r="M102" s="4"/>
      <c r="N102" s="3"/>
      <c r="O102" s="4"/>
      <c r="P102" s="4"/>
      <c r="Q102" s="4"/>
    </row>
    <row r="103" ht="15.75" customHeight="1">
      <c r="A103" s="4"/>
      <c r="B103" s="3"/>
      <c r="C103" s="3"/>
      <c r="D103" s="4"/>
      <c r="E103" s="4"/>
      <c r="F103" s="4"/>
      <c r="G103" s="4"/>
      <c r="H103" s="3"/>
      <c r="I103" s="3"/>
      <c r="J103" s="4"/>
      <c r="K103" s="4"/>
      <c r="L103" s="3"/>
      <c r="M103" s="4"/>
      <c r="N103" s="3"/>
      <c r="O103" s="4"/>
      <c r="P103" s="4"/>
      <c r="Q103" s="4"/>
    </row>
    <row r="104" ht="15.75" customHeight="1">
      <c r="A104" s="4"/>
      <c r="B104" s="3"/>
      <c r="C104" s="3"/>
      <c r="D104" s="4"/>
      <c r="E104" s="4"/>
      <c r="F104" s="4"/>
      <c r="G104" s="4"/>
      <c r="H104" s="3"/>
      <c r="I104" s="3"/>
      <c r="J104" s="4"/>
      <c r="K104" s="4"/>
      <c r="L104" s="3"/>
      <c r="M104" s="4"/>
      <c r="N104" s="3"/>
      <c r="O104" s="4"/>
      <c r="P104" s="4"/>
      <c r="Q104" s="4"/>
    </row>
    <row r="105" ht="15.75" customHeight="1">
      <c r="A105" s="4"/>
      <c r="B105" s="3"/>
      <c r="C105" s="3"/>
      <c r="D105" s="4"/>
      <c r="E105" s="4"/>
      <c r="F105" s="4"/>
      <c r="G105" s="4"/>
      <c r="H105" s="3"/>
      <c r="I105" s="3"/>
      <c r="J105" s="4"/>
      <c r="K105" s="4"/>
      <c r="L105" s="3"/>
      <c r="M105" s="4"/>
      <c r="N105" s="3"/>
      <c r="O105" s="4"/>
      <c r="P105" s="4"/>
      <c r="Q105" s="4"/>
    </row>
    <row r="106" ht="15.75" customHeight="1">
      <c r="A106" s="4"/>
      <c r="B106" s="3"/>
      <c r="C106" s="3"/>
      <c r="D106" s="4"/>
      <c r="E106" s="4"/>
      <c r="F106" s="4"/>
      <c r="G106" s="4"/>
      <c r="H106" s="3"/>
      <c r="I106" s="3"/>
      <c r="J106" s="4"/>
      <c r="K106" s="4"/>
      <c r="L106" s="3"/>
      <c r="M106" s="4"/>
      <c r="N106" s="3"/>
      <c r="O106" s="4"/>
      <c r="P106" s="4"/>
      <c r="Q106" s="4"/>
    </row>
    <row r="107" ht="15.75" customHeight="1">
      <c r="A107" s="4"/>
      <c r="B107" s="3"/>
      <c r="C107" s="3"/>
      <c r="D107" s="4"/>
      <c r="E107" s="4"/>
      <c r="F107" s="4"/>
      <c r="G107" s="4"/>
      <c r="H107" s="3"/>
      <c r="I107" s="3"/>
      <c r="J107" s="4"/>
      <c r="K107" s="4"/>
      <c r="L107" s="3"/>
      <c r="M107" s="4"/>
      <c r="N107" s="3"/>
      <c r="O107" s="4"/>
      <c r="P107" s="4"/>
      <c r="Q107" s="4"/>
    </row>
    <row r="108" ht="15.75" customHeight="1">
      <c r="A108" s="4"/>
      <c r="B108" s="3"/>
      <c r="C108" s="3"/>
      <c r="D108" s="4"/>
      <c r="E108" s="4"/>
      <c r="F108" s="4"/>
      <c r="G108" s="4"/>
      <c r="H108" s="3"/>
      <c r="I108" s="3"/>
      <c r="J108" s="4"/>
      <c r="K108" s="4"/>
      <c r="L108" s="3"/>
      <c r="M108" s="4"/>
      <c r="N108" s="3"/>
      <c r="O108" s="4"/>
      <c r="P108" s="4"/>
      <c r="Q108" s="4"/>
    </row>
    <row r="109" ht="15.75" customHeight="1">
      <c r="A109" s="4"/>
      <c r="B109" s="3"/>
      <c r="C109" s="3"/>
      <c r="D109" s="4"/>
      <c r="E109" s="4"/>
      <c r="F109" s="4"/>
      <c r="G109" s="4"/>
      <c r="H109" s="3"/>
      <c r="I109" s="3"/>
      <c r="J109" s="4"/>
      <c r="K109" s="4"/>
      <c r="L109" s="3"/>
      <c r="M109" s="4"/>
      <c r="N109" s="3"/>
      <c r="O109" s="4"/>
      <c r="P109" s="4"/>
      <c r="Q109" s="4"/>
    </row>
    <row r="110" ht="15.75" customHeight="1">
      <c r="A110" s="4"/>
      <c r="B110" s="3"/>
      <c r="C110" s="3"/>
      <c r="D110" s="4"/>
      <c r="E110" s="4"/>
      <c r="F110" s="4"/>
      <c r="G110" s="4"/>
      <c r="H110" s="3"/>
      <c r="I110" s="3"/>
      <c r="J110" s="4"/>
      <c r="K110" s="4"/>
      <c r="L110" s="3"/>
      <c r="M110" s="4"/>
      <c r="N110" s="3"/>
      <c r="O110" s="4"/>
      <c r="P110" s="4"/>
      <c r="Q110" s="4"/>
    </row>
    <row r="111" ht="15.75" customHeight="1">
      <c r="A111" s="4"/>
      <c r="B111" s="3"/>
      <c r="C111" s="3"/>
      <c r="D111" s="4"/>
      <c r="E111" s="4"/>
      <c r="F111" s="4"/>
      <c r="G111" s="4"/>
      <c r="H111" s="3"/>
      <c r="I111" s="3"/>
      <c r="J111" s="4"/>
      <c r="K111" s="4"/>
      <c r="L111" s="3"/>
      <c r="M111" s="4"/>
      <c r="N111" s="3"/>
      <c r="O111" s="4"/>
      <c r="P111" s="4"/>
      <c r="Q111" s="4"/>
    </row>
    <row r="112" ht="15.75" customHeight="1">
      <c r="A112" s="4"/>
      <c r="B112" s="3"/>
      <c r="C112" s="3"/>
      <c r="D112" s="4"/>
      <c r="E112" s="4"/>
      <c r="F112" s="4"/>
      <c r="G112" s="4"/>
      <c r="H112" s="3"/>
      <c r="I112" s="3"/>
      <c r="J112" s="4"/>
      <c r="K112" s="4"/>
      <c r="L112" s="3"/>
      <c r="M112" s="4"/>
      <c r="N112" s="3"/>
      <c r="O112" s="4"/>
      <c r="P112" s="4"/>
      <c r="Q112" s="4"/>
    </row>
    <row r="113" ht="15.75" customHeight="1">
      <c r="A113" s="4"/>
      <c r="B113" s="3"/>
      <c r="C113" s="3"/>
      <c r="D113" s="4"/>
      <c r="E113" s="4"/>
      <c r="F113" s="4"/>
      <c r="G113" s="4"/>
      <c r="H113" s="3"/>
      <c r="I113" s="3"/>
      <c r="J113" s="4"/>
      <c r="K113" s="4"/>
      <c r="L113" s="3"/>
      <c r="M113" s="4"/>
      <c r="N113" s="3"/>
      <c r="O113" s="4"/>
      <c r="P113" s="4"/>
      <c r="Q113" s="4"/>
    </row>
    <row r="114" ht="15.75" customHeight="1">
      <c r="A114" s="4"/>
      <c r="B114" s="3"/>
      <c r="C114" s="3"/>
      <c r="D114" s="4"/>
      <c r="E114" s="4"/>
      <c r="F114" s="4"/>
      <c r="G114" s="4"/>
      <c r="H114" s="3"/>
      <c r="I114" s="3"/>
      <c r="J114" s="4"/>
      <c r="K114" s="4"/>
      <c r="L114" s="3"/>
      <c r="M114" s="4"/>
      <c r="N114" s="3"/>
      <c r="O114" s="4"/>
      <c r="P114" s="4"/>
      <c r="Q114" s="4"/>
    </row>
    <row r="115" ht="15.75" customHeight="1">
      <c r="A115" s="4"/>
      <c r="B115" s="3"/>
      <c r="C115" s="3"/>
      <c r="D115" s="4"/>
      <c r="E115" s="4"/>
      <c r="F115" s="4"/>
      <c r="G115" s="4"/>
      <c r="H115" s="3"/>
      <c r="I115" s="3"/>
      <c r="J115" s="4"/>
      <c r="K115" s="4"/>
      <c r="L115" s="3"/>
      <c r="M115" s="4"/>
      <c r="N115" s="3"/>
      <c r="O115" s="4"/>
      <c r="P115" s="4"/>
      <c r="Q115" s="4"/>
    </row>
    <row r="116" ht="15.75" customHeight="1">
      <c r="A116" s="4"/>
      <c r="B116" s="3"/>
      <c r="C116" s="3"/>
      <c r="D116" s="4"/>
      <c r="E116" s="4"/>
      <c r="F116" s="4"/>
      <c r="G116" s="4"/>
      <c r="H116" s="3"/>
      <c r="I116" s="3"/>
      <c r="J116" s="4"/>
      <c r="K116" s="4"/>
      <c r="L116" s="3"/>
      <c r="M116" s="4"/>
      <c r="N116" s="3"/>
      <c r="O116" s="4"/>
      <c r="P116" s="4"/>
      <c r="Q116" s="4"/>
    </row>
    <row r="117" ht="15.75" customHeight="1">
      <c r="A117" s="4"/>
      <c r="B117" s="3"/>
      <c r="C117" s="3"/>
      <c r="D117" s="4"/>
      <c r="E117" s="4"/>
      <c r="F117" s="4"/>
      <c r="G117" s="4"/>
      <c r="H117" s="3"/>
      <c r="I117" s="3"/>
      <c r="J117" s="4"/>
      <c r="K117" s="4"/>
      <c r="L117" s="3"/>
      <c r="M117" s="4"/>
      <c r="N117" s="3"/>
      <c r="O117" s="4"/>
      <c r="P117" s="4"/>
      <c r="Q117" s="4"/>
    </row>
    <row r="118" ht="15.75" customHeight="1">
      <c r="A118" s="4"/>
      <c r="B118" s="3"/>
      <c r="C118" s="3"/>
      <c r="D118" s="4"/>
      <c r="E118" s="4"/>
      <c r="F118" s="4"/>
      <c r="G118" s="4"/>
      <c r="H118" s="3"/>
      <c r="I118" s="3"/>
      <c r="J118" s="4"/>
      <c r="K118" s="4"/>
      <c r="L118" s="3"/>
      <c r="M118" s="4"/>
      <c r="N118" s="3"/>
      <c r="O118" s="4"/>
      <c r="P118" s="4"/>
      <c r="Q118" s="4"/>
    </row>
    <row r="119" ht="15.75" customHeight="1">
      <c r="A119" s="4"/>
      <c r="B119" s="3"/>
      <c r="C119" s="3"/>
      <c r="D119" s="4"/>
      <c r="E119" s="4"/>
      <c r="F119" s="4"/>
      <c r="G119" s="4"/>
      <c r="H119" s="3"/>
      <c r="I119" s="3"/>
      <c r="J119" s="4"/>
      <c r="K119" s="4"/>
      <c r="L119" s="3"/>
      <c r="M119" s="4"/>
      <c r="N119" s="3"/>
      <c r="O119" s="4"/>
      <c r="P119" s="4"/>
      <c r="Q119" s="4"/>
    </row>
    <row r="120" ht="15.75" customHeight="1">
      <c r="A120" s="4"/>
      <c r="B120" s="3"/>
      <c r="C120" s="3"/>
      <c r="D120" s="4"/>
      <c r="E120" s="4"/>
      <c r="F120" s="4"/>
      <c r="G120" s="4"/>
      <c r="H120" s="3"/>
      <c r="I120" s="3"/>
      <c r="J120" s="4"/>
      <c r="K120" s="4"/>
      <c r="L120" s="3"/>
      <c r="M120" s="4"/>
      <c r="N120" s="3"/>
      <c r="O120" s="4"/>
      <c r="P120" s="4"/>
      <c r="Q120" s="4"/>
    </row>
    <row r="121" ht="15.75" customHeight="1">
      <c r="A121" s="4"/>
      <c r="B121" s="3"/>
      <c r="C121" s="3"/>
      <c r="D121" s="4"/>
      <c r="E121" s="4"/>
      <c r="F121" s="4"/>
      <c r="G121" s="4"/>
      <c r="H121" s="3"/>
      <c r="I121" s="3"/>
      <c r="J121" s="4"/>
      <c r="K121" s="4"/>
      <c r="L121" s="3"/>
      <c r="M121" s="4"/>
      <c r="N121" s="3"/>
      <c r="O121" s="4"/>
      <c r="P121" s="4"/>
      <c r="Q121" s="4"/>
    </row>
    <row r="122" ht="15.75" customHeight="1">
      <c r="A122" s="4"/>
      <c r="B122" s="3"/>
      <c r="C122" s="3"/>
      <c r="D122" s="4"/>
      <c r="E122" s="4"/>
      <c r="F122" s="4"/>
      <c r="G122" s="4"/>
      <c r="H122" s="3"/>
      <c r="I122" s="3"/>
      <c r="J122" s="4"/>
      <c r="K122" s="4"/>
      <c r="L122" s="3"/>
      <c r="M122" s="4"/>
      <c r="N122" s="3"/>
      <c r="O122" s="4"/>
      <c r="P122" s="4"/>
      <c r="Q122" s="4"/>
    </row>
    <row r="123" ht="15.75" customHeight="1">
      <c r="A123" s="4"/>
      <c r="B123" s="3"/>
      <c r="C123" s="3"/>
      <c r="D123" s="4"/>
      <c r="E123" s="4"/>
      <c r="F123" s="4"/>
      <c r="G123" s="4"/>
      <c r="H123" s="3"/>
      <c r="I123" s="3"/>
      <c r="J123" s="4"/>
      <c r="K123" s="4"/>
      <c r="L123" s="3"/>
      <c r="M123" s="4"/>
      <c r="N123" s="3"/>
      <c r="O123" s="4"/>
      <c r="P123" s="4"/>
      <c r="Q123" s="4"/>
    </row>
    <row r="124" ht="15.75" customHeight="1">
      <c r="A124" s="4"/>
      <c r="B124" s="3"/>
      <c r="C124" s="3"/>
      <c r="D124" s="4"/>
      <c r="E124" s="4"/>
      <c r="F124" s="4"/>
      <c r="G124" s="4"/>
      <c r="H124" s="3"/>
      <c r="I124" s="3"/>
      <c r="J124" s="4"/>
      <c r="K124" s="4"/>
      <c r="L124" s="3"/>
      <c r="M124" s="4"/>
      <c r="N124" s="3"/>
      <c r="O124" s="4"/>
      <c r="P124" s="4"/>
      <c r="Q124" s="4"/>
    </row>
    <row r="125" ht="15.75" customHeight="1">
      <c r="A125" s="4"/>
      <c r="B125" s="3"/>
      <c r="C125" s="3"/>
      <c r="D125" s="4"/>
      <c r="E125" s="4"/>
      <c r="F125" s="4"/>
      <c r="G125" s="4"/>
      <c r="H125" s="3"/>
      <c r="I125" s="3"/>
      <c r="J125" s="4"/>
      <c r="K125" s="4"/>
      <c r="L125" s="3"/>
      <c r="M125" s="4"/>
      <c r="N125" s="3"/>
      <c r="O125" s="4"/>
      <c r="P125" s="4"/>
      <c r="Q125" s="4"/>
    </row>
    <row r="126" ht="15.75" customHeight="1">
      <c r="A126" s="4"/>
      <c r="B126" s="3"/>
      <c r="C126" s="3"/>
      <c r="D126" s="4"/>
      <c r="E126" s="4"/>
      <c r="F126" s="4"/>
      <c r="G126" s="4"/>
      <c r="H126" s="3"/>
      <c r="I126" s="3"/>
      <c r="J126" s="4"/>
      <c r="K126" s="4"/>
      <c r="L126" s="3"/>
      <c r="M126" s="4"/>
      <c r="N126" s="3"/>
      <c r="O126" s="4"/>
      <c r="P126" s="4"/>
      <c r="Q126" s="4"/>
    </row>
    <row r="127" ht="15.75" customHeight="1">
      <c r="A127" s="4"/>
      <c r="B127" s="3"/>
      <c r="C127" s="3"/>
      <c r="D127" s="4"/>
      <c r="E127" s="4"/>
      <c r="F127" s="4"/>
      <c r="G127" s="4"/>
      <c r="H127" s="3"/>
      <c r="I127" s="3"/>
      <c r="J127" s="4"/>
      <c r="K127" s="4"/>
      <c r="L127" s="3"/>
      <c r="M127" s="4"/>
      <c r="N127" s="3"/>
      <c r="O127" s="4"/>
      <c r="P127" s="4"/>
      <c r="Q127" s="4"/>
    </row>
    <row r="128" ht="15.75" customHeight="1">
      <c r="A128" s="4"/>
      <c r="B128" s="3"/>
      <c r="C128" s="3"/>
      <c r="D128" s="4"/>
      <c r="E128" s="4"/>
      <c r="F128" s="4"/>
      <c r="G128" s="4"/>
      <c r="H128" s="3"/>
      <c r="I128" s="3"/>
      <c r="J128" s="4"/>
      <c r="K128" s="4"/>
      <c r="L128" s="3"/>
      <c r="M128" s="4"/>
      <c r="N128" s="3"/>
      <c r="O128" s="4"/>
      <c r="P128" s="4"/>
      <c r="Q128" s="4"/>
    </row>
    <row r="129" ht="15.75" customHeight="1">
      <c r="A129" s="4"/>
      <c r="B129" s="3"/>
      <c r="C129" s="3"/>
      <c r="D129" s="4"/>
      <c r="E129" s="4"/>
      <c r="F129" s="4"/>
      <c r="G129" s="4"/>
      <c r="H129" s="3"/>
      <c r="I129" s="3"/>
      <c r="J129" s="4"/>
      <c r="K129" s="4"/>
      <c r="L129" s="3"/>
      <c r="M129" s="4"/>
      <c r="N129" s="3"/>
      <c r="O129" s="4"/>
      <c r="P129" s="4"/>
      <c r="Q129" s="4"/>
    </row>
    <row r="130" ht="15.75" customHeight="1">
      <c r="A130" s="4"/>
      <c r="B130" s="3"/>
      <c r="C130" s="3"/>
      <c r="D130" s="4"/>
      <c r="E130" s="4"/>
      <c r="F130" s="4"/>
      <c r="G130" s="4"/>
      <c r="H130" s="3"/>
      <c r="I130" s="3"/>
      <c r="J130" s="4"/>
      <c r="K130" s="4"/>
      <c r="L130" s="3"/>
      <c r="M130" s="4"/>
      <c r="N130" s="3"/>
      <c r="O130" s="4"/>
      <c r="P130" s="4"/>
      <c r="Q130" s="4"/>
    </row>
    <row r="131" ht="15.75" customHeight="1">
      <c r="A131" s="4"/>
      <c r="B131" s="3"/>
      <c r="C131" s="3"/>
      <c r="D131" s="4"/>
      <c r="E131" s="4"/>
      <c r="F131" s="4"/>
      <c r="G131" s="4"/>
      <c r="H131" s="3"/>
      <c r="I131" s="3"/>
      <c r="J131" s="4"/>
      <c r="K131" s="4"/>
      <c r="L131" s="3"/>
      <c r="M131" s="4"/>
      <c r="N131" s="3"/>
      <c r="O131" s="4"/>
      <c r="P131" s="4"/>
      <c r="Q131" s="4"/>
    </row>
    <row r="132" ht="15.75" customHeight="1">
      <c r="A132" s="4"/>
      <c r="B132" s="3"/>
      <c r="C132" s="3"/>
      <c r="D132" s="4"/>
      <c r="E132" s="4"/>
      <c r="F132" s="4"/>
      <c r="G132" s="4"/>
      <c r="H132" s="3"/>
      <c r="I132" s="3"/>
      <c r="J132" s="4"/>
      <c r="K132" s="4"/>
      <c r="L132" s="3"/>
      <c r="M132" s="4"/>
      <c r="N132" s="3"/>
      <c r="O132" s="4"/>
      <c r="P132" s="4"/>
      <c r="Q132" s="4"/>
    </row>
    <row r="133" ht="15.75" customHeight="1">
      <c r="A133" s="4"/>
      <c r="B133" s="3"/>
      <c r="C133" s="3"/>
      <c r="D133" s="4"/>
      <c r="E133" s="4"/>
      <c r="F133" s="4"/>
      <c r="G133" s="4"/>
      <c r="H133" s="3"/>
      <c r="I133" s="3"/>
      <c r="J133" s="4"/>
      <c r="K133" s="4"/>
      <c r="L133" s="3"/>
      <c r="M133" s="4"/>
      <c r="N133" s="3"/>
      <c r="O133" s="4"/>
      <c r="P133" s="4"/>
      <c r="Q133" s="4"/>
    </row>
    <row r="134" ht="15.75" customHeight="1">
      <c r="A134" s="4"/>
      <c r="B134" s="3"/>
      <c r="C134" s="3"/>
      <c r="D134" s="4"/>
      <c r="E134" s="4"/>
      <c r="F134" s="4"/>
      <c r="G134" s="4"/>
      <c r="H134" s="3"/>
      <c r="I134" s="3"/>
      <c r="J134" s="4"/>
      <c r="K134" s="4"/>
      <c r="L134" s="3"/>
      <c r="M134" s="4"/>
      <c r="N134" s="3"/>
      <c r="O134" s="4"/>
      <c r="P134" s="4"/>
      <c r="Q134" s="4"/>
    </row>
    <row r="135" ht="15.75" customHeight="1">
      <c r="A135" s="4"/>
      <c r="B135" s="3"/>
      <c r="C135" s="3"/>
      <c r="D135" s="4"/>
      <c r="E135" s="4"/>
      <c r="F135" s="4"/>
      <c r="G135" s="4"/>
      <c r="H135" s="3"/>
      <c r="I135" s="3"/>
      <c r="J135" s="4"/>
      <c r="K135" s="4"/>
      <c r="L135" s="3"/>
      <c r="M135" s="4"/>
      <c r="N135" s="3"/>
      <c r="O135" s="4"/>
      <c r="P135" s="4"/>
      <c r="Q135" s="4"/>
    </row>
    <row r="136" ht="15.75" customHeight="1">
      <c r="A136" s="4"/>
      <c r="B136" s="3"/>
      <c r="C136" s="3"/>
      <c r="D136" s="4"/>
      <c r="E136" s="4"/>
      <c r="F136" s="4"/>
      <c r="G136" s="4"/>
      <c r="H136" s="3"/>
      <c r="I136" s="3"/>
      <c r="J136" s="4"/>
      <c r="K136" s="4"/>
      <c r="L136" s="3"/>
      <c r="M136" s="4"/>
      <c r="N136" s="3"/>
      <c r="O136" s="4"/>
      <c r="P136" s="4"/>
      <c r="Q136" s="4"/>
    </row>
    <row r="137" ht="15.75" customHeight="1">
      <c r="A137" s="4"/>
      <c r="B137" s="3"/>
      <c r="C137" s="3"/>
      <c r="D137" s="4"/>
      <c r="E137" s="4"/>
      <c r="F137" s="4"/>
      <c r="G137" s="4"/>
      <c r="H137" s="3"/>
      <c r="I137" s="3"/>
      <c r="J137" s="4"/>
      <c r="K137" s="4"/>
      <c r="L137" s="3"/>
      <c r="M137" s="4"/>
      <c r="N137" s="3"/>
      <c r="O137" s="4"/>
      <c r="P137" s="4"/>
      <c r="Q137" s="4"/>
    </row>
    <row r="138" ht="15.75" customHeight="1">
      <c r="A138" s="4"/>
      <c r="B138" s="3"/>
      <c r="C138" s="3"/>
      <c r="D138" s="4"/>
      <c r="E138" s="4"/>
      <c r="F138" s="4"/>
      <c r="G138" s="4"/>
      <c r="H138" s="3"/>
      <c r="I138" s="3"/>
      <c r="J138" s="4"/>
      <c r="K138" s="4"/>
      <c r="L138" s="3"/>
      <c r="M138" s="4"/>
      <c r="N138" s="3"/>
      <c r="O138" s="4"/>
      <c r="P138" s="4"/>
      <c r="Q138" s="4"/>
    </row>
    <row r="139" ht="15.75" customHeight="1">
      <c r="A139" s="4"/>
      <c r="B139" s="3"/>
      <c r="C139" s="3"/>
      <c r="D139" s="4"/>
      <c r="E139" s="4"/>
      <c r="F139" s="4"/>
      <c r="G139" s="4"/>
      <c r="H139" s="3"/>
      <c r="I139" s="3"/>
      <c r="J139" s="4"/>
      <c r="K139" s="4"/>
      <c r="L139" s="3"/>
      <c r="M139" s="4"/>
      <c r="N139" s="3"/>
      <c r="O139" s="4"/>
      <c r="P139" s="4"/>
      <c r="Q139" s="4"/>
    </row>
    <row r="140" ht="15.75" customHeight="1">
      <c r="A140" s="4"/>
      <c r="B140" s="3"/>
      <c r="C140" s="3"/>
      <c r="D140" s="4"/>
      <c r="E140" s="4"/>
      <c r="F140" s="4"/>
      <c r="G140" s="4"/>
      <c r="H140" s="3"/>
      <c r="I140" s="3"/>
      <c r="J140" s="4"/>
      <c r="K140" s="4"/>
      <c r="L140" s="3"/>
      <c r="M140" s="4"/>
      <c r="N140" s="3"/>
      <c r="O140" s="4"/>
      <c r="P140" s="4"/>
      <c r="Q140" s="4"/>
    </row>
    <row r="141" ht="15.75" customHeight="1">
      <c r="A141" s="4"/>
      <c r="B141" s="3"/>
      <c r="C141" s="3"/>
      <c r="D141" s="4"/>
      <c r="E141" s="4"/>
      <c r="F141" s="4"/>
      <c r="G141" s="4"/>
      <c r="H141" s="3"/>
      <c r="I141" s="3"/>
      <c r="J141" s="4"/>
      <c r="K141" s="4"/>
      <c r="L141" s="3"/>
      <c r="M141" s="4"/>
      <c r="N141" s="3"/>
      <c r="O141" s="4"/>
      <c r="P141" s="4"/>
      <c r="Q141" s="4"/>
    </row>
    <row r="142" ht="15.75" customHeight="1">
      <c r="A142" s="4"/>
      <c r="B142" s="3"/>
      <c r="C142" s="3"/>
      <c r="D142" s="4"/>
      <c r="E142" s="4"/>
      <c r="F142" s="4"/>
      <c r="G142" s="4"/>
      <c r="H142" s="3"/>
      <c r="I142" s="3"/>
      <c r="J142" s="4"/>
      <c r="K142" s="4"/>
      <c r="L142" s="3"/>
      <c r="M142" s="4"/>
      <c r="N142" s="3"/>
      <c r="O142" s="4"/>
      <c r="P142" s="4"/>
      <c r="Q142" s="4"/>
    </row>
    <row r="143" ht="15.75" customHeight="1">
      <c r="A143" s="4"/>
      <c r="B143" s="3"/>
      <c r="C143" s="3"/>
      <c r="D143" s="4"/>
      <c r="E143" s="4"/>
      <c r="F143" s="4"/>
      <c r="G143" s="4"/>
      <c r="H143" s="3"/>
      <c r="I143" s="3"/>
      <c r="J143" s="4"/>
      <c r="K143" s="4"/>
      <c r="L143" s="3"/>
      <c r="M143" s="4"/>
      <c r="N143" s="3"/>
      <c r="O143" s="4"/>
      <c r="P143" s="4"/>
      <c r="Q143" s="4"/>
    </row>
    <row r="144" ht="15.75" customHeight="1">
      <c r="A144" s="4"/>
      <c r="B144" s="3"/>
      <c r="C144" s="3"/>
      <c r="D144" s="4"/>
      <c r="E144" s="4"/>
      <c r="F144" s="4"/>
      <c r="G144" s="4"/>
      <c r="H144" s="3"/>
      <c r="I144" s="3"/>
      <c r="J144" s="4"/>
      <c r="K144" s="4"/>
      <c r="L144" s="3"/>
      <c r="M144" s="4"/>
      <c r="N144" s="3"/>
      <c r="O144" s="4"/>
      <c r="P144" s="4"/>
      <c r="Q144" s="4"/>
    </row>
    <row r="145" ht="15.75" customHeight="1">
      <c r="A145" s="4"/>
      <c r="B145" s="3"/>
      <c r="C145" s="3"/>
      <c r="D145" s="4"/>
      <c r="E145" s="4"/>
      <c r="F145" s="4"/>
      <c r="G145" s="4"/>
      <c r="H145" s="3"/>
      <c r="I145" s="3"/>
      <c r="J145" s="4"/>
      <c r="K145" s="4"/>
      <c r="L145" s="3"/>
      <c r="M145" s="4"/>
      <c r="N145" s="3"/>
      <c r="O145" s="4"/>
      <c r="P145" s="4"/>
      <c r="Q145" s="4"/>
    </row>
    <row r="146" ht="15.75" customHeight="1">
      <c r="A146" s="4"/>
      <c r="B146" s="3"/>
      <c r="C146" s="3"/>
      <c r="D146" s="4"/>
      <c r="E146" s="4"/>
      <c r="F146" s="4"/>
      <c r="G146" s="4"/>
      <c r="H146" s="3"/>
      <c r="I146" s="3"/>
      <c r="J146" s="4"/>
      <c r="K146" s="4"/>
      <c r="L146" s="3"/>
      <c r="M146" s="4"/>
      <c r="N146" s="3"/>
      <c r="O146" s="4"/>
      <c r="P146" s="4"/>
      <c r="Q146" s="4"/>
    </row>
    <row r="147" ht="15.75" customHeight="1">
      <c r="A147" s="4"/>
      <c r="B147" s="3"/>
      <c r="C147" s="3"/>
      <c r="D147" s="4"/>
      <c r="E147" s="4"/>
      <c r="F147" s="4"/>
      <c r="G147" s="4"/>
      <c r="H147" s="3"/>
      <c r="I147" s="3"/>
      <c r="J147" s="4"/>
      <c r="K147" s="4"/>
      <c r="L147" s="3"/>
      <c r="M147" s="4"/>
      <c r="N147" s="3"/>
      <c r="O147" s="4"/>
      <c r="P147" s="4"/>
      <c r="Q147" s="4"/>
    </row>
    <row r="148" ht="15.75" customHeight="1">
      <c r="A148" s="4"/>
      <c r="B148" s="3"/>
      <c r="C148" s="3"/>
      <c r="D148" s="4"/>
      <c r="E148" s="4"/>
      <c r="F148" s="4"/>
      <c r="G148" s="4"/>
      <c r="H148" s="3"/>
      <c r="I148" s="3"/>
      <c r="J148" s="4"/>
      <c r="K148" s="4"/>
      <c r="L148" s="3"/>
      <c r="M148" s="4"/>
      <c r="N148" s="3"/>
      <c r="O148" s="4"/>
      <c r="P148" s="4"/>
      <c r="Q148" s="4"/>
    </row>
    <row r="149" ht="15.75" customHeight="1">
      <c r="A149" s="4"/>
      <c r="B149" s="3"/>
      <c r="C149" s="3"/>
      <c r="D149" s="4"/>
      <c r="E149" s="4"/>
      <c r="F149" s="4"/>
      <c r="G149" s="4"/>
      <c r="H149" s="3"/>
      <c r="I149" s="3"/>
      <c r="J149" s="4"/>
      <c r="K149" s="4"/>
      <c r="L149" s="3"/>
      <c r="M149" s="4"/>
      <c r="N149" s="3"/>
      <c r="O149" s="4"/>
      <c r="P149" s="4"/>
      <c r="Q149" s="4"/>
    </row>
    <row r="150" ht="15.75" customHeight="1">
      <c r="A150" s="4"/>
      <c r="B150" s="3"/>
      <c r="C150" s="3"/>
      <c r="D150" s="4"/>
      <c r="E150" s="4"/>
      <c r="F150" s="4"/>
      <c r="G150" s="4"/>
      <c r="H150" s="3"/>
      <c r="I150" s="3"/>
      <c r="J150" s="4"/>
      <c r="K150" s="4"/>
      <c r="L150" s="3"/>
      <c r="M150" s="4"/>
      <c r="N150" s="3"/>
      <c r="O150" s="4"/>
      <c r="P150" s="4"/>
      <c r="Q150" s="4"/>
    </row>
    <row r="151" ht="15.75" customHeight="1">
      <c r="A151" s="4"/>
      <c r="B151" s="3"/>
      <c r="C151" s="3"/>
      <c r="D151" s="4"/>
      <c r="E151" s="4"/>
      <c r="F151" s="4"/>
      <c r="G151" s="4"/>
      <c r="H151" s="3"/>
      <c r="I151" s="3"/>
      <c r="J151" s="4"/>
      <c r="K151" s="4"/>
      <c r="L151" s="3"/>
      <c r="M151" s="4"/>
      <c r="N151" s="3"/>
      <c r="O151" s="4"/>
      <c r="P151" s="4"/>
      <c r="Q151" s="4"/>
    </row>
    <row r="152" ht="15.75" customHeight="1">
      <c r="A152" s="4"/>
      <c r="B152" s="3"/>
      <c r="C152" s="3"/>
      <c r="D152" s="4"/>
      <c r="E152" s="4"/>
      <c r="F152" s="4"/>
      <c r="G152" s="4"/>
      <c r="H152" s="3"/>
      <c r="I152" s="3"/>
      <c r="J152" s="4"/>
      <c r="K152" s="4"/>
      <c r="L152" s="3"/>
      <c r="M152" s="4"/>
      <c r="N152" s="3"/>
      <c r="O152" s="4"/>
      <c r="P152" s="4"/>
      <c r="Q152" s="4"/>
    </row>
    <row r="153" ht="15.75" customHeight="1">
      <c r="A153" s="4"/>
      <c r="B153" s="3"/>
      <c r="C153" s="3"/>
      <c r="D153" s="4"/>
      <c r="E153" s="4"/>
      <c r="F153" s="4"/>
      <c r="G153" s="4"/>
      <c r="H153" s="3"/>
      <c r="I153" s="3"/>
      <c r="J153" s="4"/>
      <c r="K153" s="4"/>
      <c r="L153" s="3"/>
      <c r="M153" s="4"/>
      <c r="N153" s="3"/>
      <c r="O153" s="4"/>
      <c r="P153" s="4"/>
      <c r="Q153" s="4"/>
    </row>
    <row r="154" ht="15.75" customHeight="1">
      <c r="A154" s="4"/>
      <c r="B154" s="3"/>
      <c r="C154" s="3"/>
      <c r="D154" s="4"/>
      <c r="E154" s="4"/>
      <c r="F154" s="4"/>
      <c r="G154" s="4"/>
      <c r="H154" s="3"/>
      <c r="I154" s="3"/>
      <c r="J154" s="4"/>
      <c r="K154" s="4"/>
      <c r="L154" s="3"/>
      <c r="M154" s="4"/>
      <c r="N154" s="3"/>
      <c r="O154" s="4"/>
      <c r="P154" s="4"/>
      <c r="Q154" s="4"/>
    </row>
    <row r="155" ht="15.75" customHeight="1">
      <c r="A155" s="4"/>
      <c r="B155" s="3"/>
      <c r="C155" s="3"/>
      <c r="D155" s="4"/>
      <c r="E155" s="4"/>
      <c r="F155" s="4"/>
      <c r="G155" s="4"/>
      <c r="H155" s="3"/>
      <c r="I155" s="3"/>
      <c r="J155" s="4"/>
      <c r="K155" s="4"/>
      <c r="L155" s="3"/>
      <c r="M155" s="4"/>
      <c r="N155" s="3"/>
      <c r="O155" s="4"/>
      <c r="P155" s="4"/>
      <c r="Q155" s="4"/>
    </row>
    <row r="156" ht="15.75" customHeight="1">
      <c r="A156" s="4"/>
      <c r="B156" s="3"/>
      <c r="C156" s="3"/>
      <c r="D156" s="4"/>
      <c r="E156" s="4"/>
      <c r="F156" s="4"/>
      <c r="G156" s="4"/>
      <c r="H156" s="3"/>
      <c r="I156" s="3"/>
      <c r="J156" s="4"/>
      <c r="K156" s="4"/>
      <c r="L156" s="3"/>
      <c r="M156" s="4"/>
      <c r="N156" s="3"/>
      <c r="O156" s="4"/>
      <c r="P156" s="4"/>
      <c r="Q156" s="4"/>
    </row>
    <row r="157" ht="15.75" customHeight="1">
      <c r="A157" s="4"/>
      <c r="B157" s="3"/>
      <c r="C157" s="3"/>
      <c r="D157" s="4"/>
      <c r="E157" s="4"/>
      <c r="F157" s="4"/>
      <c r="G157" s="4"/>
      <c r="H157" s="3"/>
      <c r="I157" s="3"/>
      <c r="J157" s="4"/>
      <c r="K157" s="4"/>
      <c r="L157" s="3"/>
      <c r="M157" s="4"/>
      <c r="N157" s="3"/>
      <c r="O157" s="4"/>
      <c r="P157" s="4"/>
      <c r="Q157" s="4"/>
    </row>
    <row r="158" ht="15.75" customHeight="1">
      <c r="A158" s="4"/>
      <c r="B158" s="3"/>
      <c r="C158" s="3"/>
      <c r="D158" s="4"/>
      <c r="E158" s="4"/>
      <c r="F158" s="4"/>
      <c r="G158" s="4"/>
      <c r="H158" s="3"/>
      <c r="I158" s="3"/>
      <c r="J158" s="4"/>
      <c r="K158" s="4"/>
      <c r="L158" s="3"/>
      <c r="M158" s="4"/>
      <c r="N158" s="3"/>
      <c r="O158" s="4"/>
      <c r="P158" s="4"/>
      <c r="Q158" s="4"/>
    </row>
    <row r="159" ht="15.75" customHeight="1">
      <c r="A159" s="4"/>
      <c r="B159" s="3"/>
      <c r="C159" s="3"/>
      <c r="D159" s="4"/>
      <c r="E159" s="4"/>
      <c r="F159" s="4"/>
      <c r="G159" s="4"/>
      <c r="H159" s="3"/>
      <c r="I159" s="3"/>
      <c r="J159" s="4"/>
      <c r="K159" s="4"/>
      <c r="L159" s="3"/>
      <c r="M159" s="4"/>
      <c r="N159" s="3"/>
      <c r="O159" s="4"/>
      <c r="P159" s="4"/>
      <c r="Q159" s="4"/>
    </row>
    <row r="160" ht="15.75" customHeight="1">
      <c r="A160" s="4"/>
      <c r="B160" s="3"/>
      <c r="C160" s="3"/>
      <c r="D160" s="4"/>
      <c r="E160" s="4"/>
      <c r="F160" s="4"/>
      <c r="G160" s="4"/>
      <c r="H160" s="3"/>
      <c r="I160" s="3"/>
      <c r="J160" s="4"/>
      <c r="K160" s="4"/>
      <c r="L160" s="3"/>
      <c r="M160" s="4"/>
      <c r="N160" s="3"/>
      <c r="O160" s="4"/>
      <c r="P160" s="4"/>
      <c r="Q160" s="4"/>
    </row>
    <row r="161" ht="15.75" customHeight="1">
      <c r="A161" s="4"/>
      <c r="B161" s="3"/>
      <c r="C161" s="3"/>
      <c r="D161" s="4"/>
      <c r="E161" s="4"/>
      <c r="F161" s="4"/>
      <c r="G161" s="4"/>
      <c r="H161" s="3"/>
      <c r="I161" s="3"/>
      <c r="J161" s="4"/>
      <c r="K161" s="4"/>
      <c r="L161" s="3"/>
      <c r="M161" s="4"/>
      <c r="N161" s="3"/>
      <c r="O161" s="4"/>
      <c r="P161" s="4"/>
      <c r="Q161" s="4"/>
    </row>
    <row r="162" ht="15.75" customHeight="1">
      <c r="A162" s="4"/>
      <c r="B162" s="3"/>
      <c r="C162" s="3"/>
      <c r="D162" s="4"/>
      <c r="E162" s="4"/>
      <c r="F162" s="4"/>
      <c r="G162" s="4"/>
      <c r="H162" s="3"/>
      <c r="I162" s="3"/>
      <c r="J162" s="4"/>
      <c r="K162" s="4"/>
      <c r="L162" s="3"/>
      <c r="M162" s="4"/>
      <c r="N162" s="3"/>
      <c r="O162" s="4"/>
      <c r="P162" s="4"/>
      <c r="Q162" s="4"/>
    </row>
    <row r="163" ht="15.75" customHeight="1">
      <c r="A163" s="4"/>
      <c r="B163" s="3"/>
      <c r="C163" s="3"/>
      <c r="D163" s="4"/>
      <c r="E163" s="4"/>
      <c r="F163" s="4"/>
      <c r="G163" s="4"/>
      <c r="H163" s="3"/>
      <c r="I163" s="3"/>
      <c r="J163" s="4"/>
      <c r="K163" s="4"/>
      <c r="L163" s="3"/>
      <c r="M163" s="4"/>
      <c r="N163" s="3"/>
      <c r="O163" s="4"/>
      <c r="P163" s="4"/>
      <c r="Q163" s="4"/>
    </row>
    <row r="164" ht="15.75" customHeight="1">
      <c r="A164" s="4"/>
      <c r="B164" s="3"/>
      <c r="C164" s="3"/>
      <c r="D164" s="4"/>
      <c r="E164" s="4"/>
      <c r="F164" s="4"/>
      <c r="G164" s="4"/>
      <c r="H164" s="3"/>
      <c r="I164" s="3"/>
      <c r="J164" s="4"/>
      <c r="K164" s="4"/>
      <c r="L164" s="3"/>
      <c r="M164" s="4"/>
      <c r="N164" s="3"/>
      <c r="O164" s="4"/>
      <c r="P164" s="4"/>
      <c r="Q164" s="4"/>
    </row>
    <row r="165" ht="15.75" customHeight="1">
      <c r="A165" s="4"/>
      <c r="B165" s="3"/>
      <c r="C165" s="3"/>
      <c r="D165" s="4"/>
      <c r="E165" s="4"/>
      <c r="F165" s="4"/>
      <c r="G165" s="4"/>
      <c r="H165" s="3"/>
      <c r="I165" s="3"/>
      <c r="J165" s="4"/>
      <c r="K165" s="4"/>
      <c r="L165" s="3"/>
      <c r="M165" s="4"/>
      <c r="N165" s="3"/>
      <c r="O165" s="4"/>
      <c r="P165" s="4"/>
      <c r="Q165" s="4"/>
    </row>
    <row r="166" ht="15.75" customHeight="1">
      <c r="A166" s="4"/>
      <c r="B166" s="3"/>
      <c r="C166" s="3"/>
      <c r="D166" s="4"/>
      <c r="E166" s="4"/>
      <c r="F166" s="4"/>
      <c r="G166" s="4"/>
      <c r="H166" s="3"/>
      <c r="I166" s="3"/>
      <c r="J166" s="4"/>
      <c r="K166" s="4"/>
      <c r="L166" s="3"/>
      <c r="M166" s="4"/>
      <c r="N166" s="3"/>
      <c r="O166" s="4"/>
      <c r="P166" s="4"/>
      <c r="Q166" s="4"/>
    </row>
    <row r="167" ht="15.75" customHeight="1">
      <c r="A167" s="4"/>
      <c r="B167" s="3"/>
      <c r="C167" s="3"/>
      <c r="D167" s="4"/>
      <c r="E167" s="4"/>
      <c r="F167" s="4"/>
      <c r="G167" s="4"/>
      <c r="H167" s="3"/>
      <c r="I167" s="3"/>
      <c r="J167" s="4"/>
      <c r="K167" s="4"/>
      <c r="L167" s="3"/>
      <c r="M167" s="4"/>
      <c r="N167" s="3"/>
      <c r="O167" s="4"/>
      <c r="P167" s="4"/>
      <c r="Q167" s="4"/>
    </row>
    <row r="168" ht="15.75" customHeight="1">
      <c r="A168" s="4"/>
      <c r="B168" s="3"/>
      <c r="C168" s="3"/>
      <c r="D168" s="4"/>
      <c r="E168" s="4"/>
      <c r="F168" s="4"/>
      <c r="G168" s="4"/>
      <c r="H168" s="3"/>
      <c r="I168" s="3"/>
      <c r="J168" s="4"/>
      <c r="K168" s="4"/>
      <c r="L168" s="3"/>
      <c r="M168" s="4"/>
      <c r="N168" s="3"/>
      <c r="O168" s="4"/>
      <c r="P168" s="4"/>
      <c r="Q168" s="4"/>
    </row>
    <row r="169" ht="15.75" customHeight="1">
      <c r="A169" s="4"/>
      <c r="B169" s="3"/>
      <c r="C169" s="3"/>
      <c r="D169" s="4"/>
      <c r="E169" s="4"/>
      <c r="F169" s="4"/>
      <c r="G169" s="4"/>
      <c r="H169" s="3"/>
      <c r="I169" s="3"/>
      <c r="J169" s="4"/>
      <c r="K169" s="4"/>
      <c r="L169" s="3"/>
      <c r="M169" s="4"/>
      <c r="N169" s="3"/>
      <c r="O169" s="4"/>
      <c r="P169" s="4"/>
      <c r="Q169" s="4"/>
    </row>
    <row r="170" ht="15.75" customHeight="1">
      <c r="A170" s="4"/>
      <c r="B170" s="3"/>
      <c r="C170" s="3"/>
      <c r="D170" s="4"/>
      <c r="E170" s="4"/>
      <c r="F170" s="4"/>
      <c r="G170" s="4"/>
      <c r="H170" s="3"/>
      <c r="I170" s="3"/>
      <c r="J170" s="4"/>
      <c r="K170" s="4"/>
      <c r="L170" s="3"/>
      <c r="M170" s="4"/>
      <c r="N170" s="3"/>
      <c r="O170" s="4"/>
      <c r="P170" s="4"/>
      <c r="Q170" s="4"/>
    </row>
    <row r="171" ht="15.75" customHeight="1">
      <c r="A171" s="4"/>
      <c r="B171" s="3"/>
      <c r="C171" s="3"/>
      <c r="D171" s="4"/>
      <c r="E171" s="4"/>
      <c r="F171" s="4"/>
      <c r="G171" s="4"/>
      <c r="H171" s="3"/>
      <c r="I171" s="3"/>
      <c r="J171" s="4"/>
      <c r="K171" s="4"/>
      <c r="L171" s="3"/>
      <c r="M171" s="4"/>
      <c r="N171" s="3"/>
      <c r="O171" s="4"/>
      <c r="P171" s="4"/>
      <c r="Q171" s="4"/>
    </row>
    <row r="172" ht="15.75" customHeight="1">
      <c r="A172" s="4"/>
      <c r="B172" s="3"/>
      <c r="C172" s="3"/>
      <c r="D172" s="4"/>
      <c r="E172" s="4"/>
      <c r="F172" s="4"/>
      <c r="G172" s="4"/>
      <c r="H172" s="3"/>
      <c r="I172" s="3"/>
      <c r="J172" s="4"/>
      <c r="K172" s="4"/>
      <c r="L172" s="3"/>
      <c r="M172" s="4"/>
      <c r="N172" s="3"/>
      <c r="O172" s="4"/>
      <c r="P172" s="4"/>
      <c r="Q172" s="4"/>
    </row>
    <row r="173" ht="15.75" customHeight="1">
      <c r="A173" s="4"/>
      <c r="B173" s="3"/>
      <c r="C173" s="3"/>
      <c r="D173" s="4"/>
      <c r="E173" s="4"/>
      <c r="F173" s="4"/>
      <c r="G173" s="4"/>
      <c r="H173" s="3"/>
      <c r="I173" s="3"/>
      <c r="J173" s="4"/>
      <c r="K173" s="4"/>
      <c r="L173" s="3"/>
      <c r="M173" s="4"/>
      <c r="N173" s="3"/>
      <c r="O173" s="4"/>
      <c r="P173" s="4"/>
      <c r="Q173" s="4"/>
    </row>
    <row r="174" ht="15.75" customHeight="1">
      <c r="A174" s="4"/>
      <c r="B174" s="3"/>
      <c r="C174" s="3"/>
      <c r="D174" s="4"/>
      <c r="E174" s="4"/>
      <c r="F174" s="4"/>
      <c r="G174" s="4"/>
      <c r="H174" s="3"/>
      <c r="I174" s="3"/>
      <c r="J174" s="4"/>
      <c r="K174" s="4"/>
      <c r="L174" s="3"/>
      <c r="M174" s="4"/>
      <c r="N174" s="3"/>
      <c r="O174" s="4"/>
      <c r="P174" s="4"/>
      <c r="Q174" s="4"/>
    </row>
    <row r="175" ht="15.75" customHeight="1">
      <c r="A175" s="4"/>
      <c r="B175" s="3"/>
      <c r="C175" s="3"/>
      <c r="D175" s="4"/>
      <c r="E175" s="4"/>
      <c r="F175" s="4"/>
      <c r="G175" s="4"/>
      <c r="H175" s="3"/>
      <c r="I175" s="3"/>
      <c r="J175" s="4"/>
      <c r="K175" s="4"/>
      <c r="L175" s="3"/>
      <c r="M175" s="4"/>
      <c r="N175" s="3"/>
      <c r="O175" s="4"/>
      <c r="P175" s="4"/>
      <c r="Q175" s="4"/>
    </row>
    <row r="176" ht="15.75" customHeight="1">
      <c r="A176" s="4"/>
      <c r="B176" s="3"/>
      <c r="C176" s="3"/>
      <c r="D176" s="4"/>
      <c r="E176" s="4"/>
      <c r="F176" s="4"/>
      <c r="G176" s="4"/>
      <c r="H176" s="3"/>
      <c r="I176" s="3"/>
      <c r="J176" s="4"/>
      <c r="K176" s="4"/>
      <c r="L176" s="3"/>
      <c r="M176" s="4"/>
      <c r="N176" s="3"/>
      <c r="O176" s="4"/>
      <c r="P176" s="4"/>
      <c r="Q176" s="4"/>
    </row>
    <row r="177" ht="15.75" customHeight="1">
      <c r="A177" s="4"/>
      <c r="B177" s="3"/>
      <c r="C177" s="3"/>
      <c r="D177" s="4"/>
      <c r="E177" s="4"/>
      <c r="F177" s="4"/>
      <c r="G177" s="4"/>
      <c r="H177" s="3"/>
      <c r="I177" s="3"/>
      <c r="J177" s="4"/>
      <c r="K177" s="4"/>
      <c r="L177" s="3"/>
      <c r="M177" s="4"/>
      <c r="N177" s="3"/>
      <c r="O177" s="4"/>
      <c r="P177" s="4"/>
      <c r="Q177" s="4"/>
    </row>
    <row r="178" ht="15.75" customHeight="1">
      <c r="A178" s="4"/>
      <c r="B178" s="3"/>
      <c r="C178" s="3"/>
      <c r="D178" s="4"/>
      <c r="E178" s="4"/>
      <c r="F178" s="4"/>
      <c r="G178" s="4"/>
      <c r="H178" s="3"/>
      <c r="I178" s="3"/>
      <c r="J178" s="4"/>
      <c r="K178" s="4"/>
      <c r="L178" s="3"/>
      <c r="M178" s="4"/>
      <c r="N178" s="3"/>
      <c r="O178" s="4"/>
      <c r="P178" s="4"/>
      <c r="Q178" s="4"/>
    </row>
    <row r="179" ht="15.75" customHeight="1">
      <c r="A179" s="4"/>
      <c r="B179" s="3"/>
      <c r="C179" s="3"/>
      <c r="D179" s="4"/>
      <c r="E179" s="4"/>
      <c r="F179" s="4"/>
      <c r="G179" s="4"/>
      <c r="H179" s="3"/>
      <c r="I179" s="3"/>
      <c r="J179" s="4"/>
      <c r="K179" s="4"/>
      <c r="L179" s="3"/>
      <c r="M179" s="4"/>
      <c r="N179" s="3"/>
      <c r="O179" s="4"/>
      <c r="P179" s="4"/>
      <c r="Q179" s="4"/>
    </row>
    <row r="180" ht="15.75" customHeight="1">
      <c r="A180" s="4"/>
      <c r="B180" s="3"/>
      <c r="C180" s="3"/>
      <c r="D180" s="4"/>
      <c r="E180" s="4"/>
      <c r="F180" s="4"/>
      <c r="G180" s="4"/>
      <c r="H180" s="3"/>
      <c r="I180" s="3"/>
      <c r="J180" s="4"/>
      <c r="K180" s="4"/>
      <c r="L180" s="3"/>
      <c r="M180" s="4"/>
      <c r="N180" s="3"/>
      <c r="O180" s="4"/>
      <c r="P180" s="4"/>
      <c r="Q180" s="4"/>
    </row>
    <row r="181" ht="15.75" customHeight="1">
      <c r="A181" s="4"/>
      <c r="B181" s="3"/>
      <c r="C181" s="3"/>
      <c r="D181" s="4"/>
      <c r="E181" s="4"/>
      <c r="F181" s="4"/>
      <c r="G181" s="4"/>
      <c r="H181" s="3"/>
      <c r="I181" s="3"/>
      <c r="J181" s="4"/>
      <c r="K181" s="4"/>
      <c r="L181" s="3"/>
      <c r="M181" s="4"/>
      <c r="N181" s="3"/>
      <c r="O181" s="4"/>
      <c r="P181" s="4"/>
      <c r="Q181" s="4"/>
    </row>
    <row r="182" ht="15.75" customHeight="1">
      <c r="A182" s="4"/>
      <c r="B182" s="3"/>
      <c r="C182" s="3"/>
      <c r="D182" s="4"/>
      <c r="E182" s="4"/>
      <c r="F182" s="4"/>
      <c r="G182" s="4"/>
      <c r="H182" s="3"/>
      <c r="I182" s="3"/>
      <c r="J182" s="4"/>
      <c r="K182" s="4"/>
      <c r="L182" s="3"/>
      <c r="M182" s="4"/>
      <c r="N182" s="3"/>
      <c r="O182" s="4"/>
      <c r="P182" s="4"/>
      <c r="Q182" s="4"/>
    </row>
    <row r="183" ht="15.75" customHeight="1">
      <c r="A183" s="4"/>
      <c r="B183" s="3"/>
      <c r="C183" s="3"/>
      <c r="D183" s="4"/>
      <c r="E183" s="4"/>
      <c r="F183" s="4"/>
      <c r="G183" s="4"/>
      <c r="H183" s="3"/>
      <c r="I183" s="3"/>
      <c r="J183" s="4"/>
      <c r="K183" s="4"/>
      <c r="L183" s="3"/>
      <c r="M183" s="4"/>
      <c r="N183" s="3"/>
      <c r="O183" s="4"/>
      <c r="P183" s="4"/>
      <c r="Q183" s="4"/>
    </row>
    <row r="184" ht="15.75" customHeight="1">
      <c r="A184" s="4"/>
      <c r="B184" s="3"/>
      <c r="C184" s="3"/>
      <c r="D184" s="4"/>
      <c r="E184" s="4"/>
      <c r="F184" s="4"/>
      <c r="G184" s="4"/>
      <c r="H184" s="3"/>
      <c r="I184" s="3"/>
      <c r="J184" s="4"/>
      <c r="K184" s="4"/>
      <c r="L184" s="3"/>
      <c r="M184" s="4"/>
      <c r="N184" s="3"/>
      <c r="O184" s="4"/>
      <c r="P184" s="4"/>
      <c r="Q184" s="4"/>
    </row>
    <row r="185" ht="15.75" customHeight="1">
      <c r="A185" s="4"/>
      <c r="B185" s="3"/>
      <c r="C185" s="3"/>
      <c r="D185" s="4"/>
      <c r="E185" s="4"/>
      <c r="F185" s="4"/>
      <c r="G185" s="4"/>
      <c r="H185" s="3"/>
      <c r="I185" s="3"/>
      <c r="J185" s="4"/>
      <c r="K185" s="4"/>
      <c r="L185" s="3"/>
      <c r="M185" s="4"/>
      <c r="N185" s="3"/>
      <c r="O185" s="4"/>
      <c r="P185" s="4"/>
      <c r="Q185" s="4"/>
    </row>
    <row r="186" ht="15.75" customHeight="1">
      <c r="A186" s="4"/>
      <c r="B186" s="3"/>
      <c r="C186" s="3"/>
      <c r="D186" s="4"/>
      <c r="E186" s="4"/>
      <c r="F186" s="4"/>
      <c r="G186" s="4"/>
      <c r="H186" s="3"/>
      <c r="I186" s="3"/>
      <c r="J186" s="4"/>
      <c r="K186" s="4"/>
      <c r="L186" s="3"/>
      <c r="M186" s="4"/>
      <c r="N186" s="3"/>
      <c r="O186" s="4"/>
      <c r="P186" s="4"/>
      <c r="Q186" s="4"/>
    </row>
    <row r="187" ht="15.75" customHeight="1">
      <c r="A187" s="4"/>
      <c r="B187" s="3"/>
      <c r="C187" s="3"/>
      <c r="D187" s="4"/>
      <c r="E187" s="4"/>
      <c r="F187" s="4"/>
      <c r="G187" s="4"/>
      <c r="H187" s="3"/>
      <c r="I187" s="3"/>
      <c r="J187" s="4"/>
      <c r="K187" s="4"/>
      <c r="L187" s="3"/>
      <c r="M187" s="4"/>
      <c r="N187" s="3"/>
      <c r="O187" s="4"/>
      <c r="P187" s="4"/>
      <c r="Q187" s="4"/>
    </row>
    <row r="188" ht="15.75" customHeight="1">
      <c r="A188" s="4"/>
      <c r="B188" s="3"/>
      <c r="C188" s="3"/>
      <c r="D188" s="4"/>
      <c r="E188" s="4"/>
      <c r="F188" s="4"/>
      <c r="G188" s="4"/>
      <c r="H188" s="3"/>
      <c r="I188" s="3"/>
      <c r="J188" s="4"/>
      <c r="K188" s="4"/>
      <c r="L188" s="3"/>
      <c r="M188" s="4"/>
      <c r="N188" s="3"/>
      <c r="O188" s="4"/>
      <c r="P188" s="4"/>
      <c r="Q188" s="4"/>
    </row>
    <row r="189" ht="15.75" customHeight="1">
      <c r="A189" s="4"/>
      <c r="B189" s="3"/>
      <c r="C189" s="3"/>
      <c r="D189" s="4"/>
      <c r="E189" s="4"/>
      <c r="F189" s="4"/>
      <c r="G189" s="4"/>
      <c r="H189" s="3"/>
      <c r="I189" s="3"/>
      <c r="J189" s="4"/>
      <c r="K189" s="4"/>
      <c r="L189" s="3"/>
      <c r="M189" s="4"/>
      <c r="N189" s="3"/>
      <c r="O189" s="4"/>
      <c r="P189" s="4"/>
      <c r="Q189" s="4"/>
    </row>
    <row r="190" ht="15.75" customHeight="1">
      <c r="A190" s="4"/>
      <c r="B190" s="3"/>
      <c r="C190" s="3"/>
      <c r="D190" s="4"/>
      <c r="E190" s="4"/>
      <c r="F190" s="4"/>
      <c r="G190" s="4"/>
      <c r="H190" s="3"/>
      <c r="I190" s="3"/>
      <c r="J190" s="4"/>
      <c r="K190" s="4"/>
      <c r="L190" s="3"/>
      <c r="M190" s="4"/>
      <c r="N190" s="3"/>
      <c r="O190" s="4"/>
      <c r="P190" s="4"/>
      <c r="Q190" s="4"/>
    </row>
    <row r="191" ht="15.75" customHeight="1">
      <c r="A191" s="4"/>
      <c r="B191" s="3"/>
      <c r="C191" s="3"/>
      <c r="D191" s="4"/>
      <c r="E191" s="4"/>
      <c r="F191" s="4"/>
      <c r="G191" s="4"/>
      <c r="H191" s="3"/>
      <c r="I191" s="3"/>
      <c r="J191" s="4"/>
      <c r="K191" s="4"/>
      <c r="L191" s="3"/>
      <c r="M191" s="4"/>
      <c r="N191" s="3"/>
      <c r="O191" s="4"/>
      <c r="P191" s="4"/>
      <c r="Q191" s="4"/>
    </row>
    <row r="192" ht="15.75" customHeight="1">
      <c r="A192" s="4"/>
      <c r="B192" s="3"/>
      <c r="C192" s="3"/>
      <c r="D192" s="4"/>
      <c r="E192" s="4"/>
      <c r="F192" s="4"/>
      <c r="G192" s="4"/>
      <c r="H192" s="3"/>
      <c r="I192" s="3"/>
      <c r="J192" s="4"/>
      <c r="K192" s="4"/>
      <c r="L192" s="3"/>
      <c r="M192" s="4"/>
      <c r="N192" s="3"/>
      <c r="O192" s="4"/>
      <c r="P192" s="4"/>
      <c r="Q192" s="4"/>
    </row>
    <row r="193" ht="15.75" customHeight="1">
      <c r="A193" s="4"/>
      <c r="B193" s="3"/>
      <c r="C193" s="3"/>
      <c r="D193" s="4"/>
      <c r="E193" s="4"/>
      <c r="F193" s="4"/>
      <c r="G193" s="4"/>
      <c r="H193" s="3"/>
      <c r="I193" s="3"/>
      <c r="J193" s="4"/>
      <c r="K193" s="4"/>
      <c r="L193" s="3"/>
      <c r="M193" s="4"/>
      <c r="N193" s="3"/>
      <c r="O193" s="4"/>
      <c r="P193" s="4"/>
      <c r="Q193" s="4"/>
    </row>
    <row r="194" ht="15.75" customHeight="1">
      <c r="A194" s="4"/>
      <c r="B194" s="3"/>
      <c r="C194" s="3"/>
      <c r="D194" s="4"/>
      <c r="E194" s="4"/>
      <c r="F194" s="4"/>
      <c r="G194" s="4"/>
      <c r="H194" s="3"/>
      <c r="I194" s="3"/>
      <c r="J194" s="4"/>
      <c r="K194" s="4"/>
      <c r="L194" s="3"/>
      <c r="M194" s="4"/>
      <c r="N194" s="3"/>
      <c r="O194" s="4"/>
      <c r="P194" s="4"/>
      <c r="Q194" s="4"/>
    </row>
    <row r="195" ht="15.75" customHeight="1">
      <c r="A195" s="4"/>
      <c r="B195" s="3"/>
      <c r="C195" s="3"/>
      <c r="D195" s="4"/>
      <c r="E195" s="4"/>
      <c r="F195" s="4"/>
      <c r="G195" s="4"/>
      <c r="H195" s="3"/>
      <c r="I195" s="3"/>
      <c r="J195" s="4"/>
      <c r="K195" s="4"/>
      <c r="L195" s="3"/>
      <c r="M195" s="4"/>
      <c r="N195" s="3"/>
      <c r="O195" s="4"/>
      <c r="P195" s="4"/>
      <c r="Q195" s="4"/>
    </row>
    <row r="196" ht="15.75" customHeight="1">
      <c r="A196" s="4"/>
      <c r="B196" s="3"/>
      <c r="C196" s="3"/>
      <c r="D196" s="4"/>
      <c r="E196" s="4"/>
      <c r="F196" s="4"/>
      <c r="G196" s="4"/>
      <c r="H196" s="3"/>
      <c r="I196" s="3"/>
      <c r="J196" s="4"/>
      <c r="K196" s="4"/>
      <c r="L196" s="3"/>
      <c r="M196" s="4"/>
      <c r="N196" s="3"/>
      <c r="O196" s="4"/>
      <c r="P196" s="4"/>
      <c r="Q196" s="4"/>
    </row>
    <row r="197" ht="15.75" customHeight="1">
      <c r="A197" s="4"/>
      <c r="B197" s="3"/>
      <c r="C197" s="3"/>
      <c r="D197" s="4"/>
      <c r="E197" s="4"/>
      <c r="F197" s="4"/>
      <c r="G197" s="4"/>
      <c r="H197" s="3"/>
      <c r="I197" s="3"/>
      <c r="J197" s="4"/>
      <c r="K197" s="4"/>
      <c r="L197" s="3"/>
      <c r="M197" s="4"/>
      <c r="N197" s="3"/>
      <c r="O197" s="4"/>
      <c r="P197" s="4"/>
      <c r="Q197" s="4"/>
    </row>
    <row r="198" ht="15.75" customHeight="1">
      <c r="A198" s="4"/>
      <c r="B198" s="3"/>
      <c r="C198" s="3"/>
      <c r="D198" s="4"/>
      <c r="E198" s="4"/>
      <c r="F198" s="4"/>
      <c r="G198" s="4"/>
      <c r="H198" s="3"/>
      <c r="I198" s="3"/>
      <c r="J198" s="4"/>
      <c r="K198" s="4"/>
      <c r="L198" s="3"/>
      <c r="M198" s="4"/>
      <c r="N198" s="3"/>
      <c r="O198" s="4"/>
      <c r="P198" s="4"/>
      <c r="Q198" s="4"/>
    </row>
    <row r="199" ht="15.75" customHeight="1">
      <c r="A199" s="4"/>
      <c r="B199" s="3"/>
      <c r="C199" s="3"/>
      <c r="D199" s="4"/>
      <c r="E199" s="4"/>
      <c r="F199" s="4"/>
      <c r="G199" s="4"/>
      <c r="H199" s="3"/>
      <c r="I199" s="3"/>
      <c r="J199" s="4"/>
      <c r="K199" s="4"/>
      <c r="L199" s="3"/>
      <c r="M199" s="4"/>
      <c r="N199" s="3"/>
      <c r="O199" s="4"/>
      <c r="P199" s="4"/>
      <c r="Q199" s="4"/>
    </row>
    <row r="200" ht="15.75" customHeight="1">
      <c r="A200" s="4"/>
      <c r="B200" s="3"/>
      <c r="C200" s="3"/>
      <c r="D200" s="4"/>
      <c r="E200" s="4"/>
      <c r="F200" s="4"/>
      <c r="G200" s="4"/>
      <c r="H200" s="3"/>
      <c r="I200" s="3"/>
      <c r="J200" s="4"/>
      <c r="K200" s="4"/>
      <c r="L200" s="3"/>
      <c r="M200" s="4"/>
      <c r="N200" s="3"/>
      <c r="O200" s="4"/>
      <c r="P200" s="4"/>
      <c r="Q200" s="4"/>
    </row>
    <row r="201" ht="15.75" customHeight="1">
      <c r="A201" s="4"/>
      <c r="B201" s="3"/>
      <c r="C201" s="3"/>
      <c r="D201" s="4"/>
      <c r="E201" s="4"/>
      <c r="F201" s="4"/>
      <c r="G201" s="4"/>
      <c r="H201" s="3"/>
      <c r="I201" s="3"/>
      <c r="J201" s="4"/>
      <c r="K201" s="4"/>
      <c r="L201" s="3"/>
      <c r="M201" s="4"/>
      <c r="N201" s="3"/>
      <c r="O201" s="4"/>
      <c r="P201" s="4"/>
      <c r="Q201" s="4"/>
    </row>
    <row r="202" ht="15.75" customHeight="1">
      <c r="A202" s="4"/>
      <c r="B202" s="3"/>
      <c r="C202" s="3"/>
      <c r="D202" s="4"/>
      <c r="E202" s="4"/>
      <c r="F202" s="4"/>
      <c r="G202" s="4"/>
      <c r="H202" s="3"/>
      <c r="I202" s="3"/>
      <c r="J202" s="4"/>
      <c r="K202" s="4"/>
      <c r="L202" s="3"/>
      <c r="M202" s="4"/>
      <c r="N202" s="3"/>
      <c r="O202" s="4"/>
      <c r="P202" s="4"/>
      <c r="Q202" s="4"/>
    </row>
    <row r="203" ht="15.75" customHeight="1">
      <c r="A203" s="4"/>
      <c r="B203" s="3"/>
      <c r="C203" s="3"/>
      <c r="D203" s="4"/>
      <c r="E203" s="4"/>
      <c r="F203" s="4"/>
      <c r="G203" s="4"/>
      <c r="H203" s="3"/>
      <c r="I203" s="3"/>
      <c r="J203" s="4"/>
      <c r="K203" s="4"/>
      <c r="L203" s="3"/>
      <c r="M203" s="4"/>
      <c r="N203" s="3"/>
      <c r="O203" s="4"/>
      <c r="P203" s="4"/>
      <c r="Q203" s="4"/>
    </row>
    <row r="204" ht="15.75" customHeight="1">
      <c r="A204" s="4"/>
      <c r="B204" s="3"/>
      <c r="C204" s="3"/>
      <c r="D204" s="4"/>
      <c r="E204" s="4"/>
      <c r="F204" s="4"/>
      <c r="G204" s="4"/>
      <c r="H204" s="3"/>
      <c r="I204" s="3"/>
      <c r="J204" s="4"/>
      <c r="K204" s="4"/>
      <c r="L204" s="3"/>
      <c r="M204" s="4"/>
      <c r="N204" s="3"/>
      <c r="O204" s="4"/>
      <c r="P204" s="4"/>
      <c r="Q204" s="4"/>
    </row>
    <row r="205" ht="15.75" customHeight="1">
      <c r="A205" s="4"/>
      <c r="B205" s="3"/>
      <c r="C205" s="3"/>
      <c r="D205" s="4"/>
      <c r="E205" s="4"/>
      <c r="F205" s="4"/>
      <c r="G205" s="4"/>
      <c r="H205" s="3"/>
      <c r="I205" s="3"/>
      <c r="J205" s="4"/>
      <c r="K205" s="4"/>
      <c r="L205" s="3"/>
      <c r="M205" s="4"/>
      <c r="N205" s="3"/>
      <c r="O205" s="4"/>
      <c r="P205" s="4"/>
      <c r="Q205" s="4"/>
    </row>
    <row r="206" ht="15.75" customHeight="1">
      <c r="A206" s="4"/>
      <c r="B206" s="3"/>
      <c r="C206" s="3"/>
      <c r="D206" s="4"/>
      <c r="E206" s="4"/>
      <c r="F206" s="4"/>
      <c r="G206" s="4"/>
      <c r="H206" s="3"/>
      <c r="I206" s="3"/>
      <c r="J206" s="4"/>
      <c r="K206" s="4"/>
      <c r="L206" s="3"/>
      <c r="M206" s="4"/>
      <c r="N206" s="3"/>
      <c r="O206" s="4"/>
      <c r="P206" s="4"/>
      <c r="Q206" s="4"/>
    </row>
    <row r="207" ht="15.75" customHeight="1">
      <c r="A207" s="4"/>
      <c r="B207" s="3"/>
      <c r="C207" s="3"/>
      <c r="D207" s="4"/>
      <c r="E207" s="4"/>
      <c r="F207" s="4"/>
      <c r="G207" s="4"/>
      <c r="H207" s="3"/>
      <c r="I207" s="3"/>
      <c r="J207" s="4"/>
      <c r="K207" s="4"/>
      <c r="L207" s="3"/>
      <c r="M207" s="4"/>
      <c r="N207" s="3"/>
      <c r="O207" s="4"/>
      <c r="P207" s="4"/>
      <c r="Q207" s="4"/>
    </row>
    <row r="208" ht="15.75" customHeight="1">
      <c r="A208" s="4"/>
      <c r="B208" s="3"/>
      <c r="C208" s="3"/>
      <c r="D208" s="4"/>
      <c r="E208" s="4"/>
      <c r="F208" s="4"/>
      <c r="G208" s="4"/>
      <c r="H208" s="3"/>
      <c r="I208" s="3"/>
      <c r="J208" s="4"/>
      <c r="K208" s="4"/>
      <c r="L208" s="3"/>
      <c r="M208" s="4"/>
      <c r="N208" s="3"/>
      <c r="O208" s="4"/>
      <c r="P208" s="4"/>
      <c r="Q208" s="4"/>
    </row>
    <row r="209" ht="15.75" customHeight="1">
      <c r="A209" s="4"/>
      <c r="B209" s="3"/>
      <c r="C209" s="3"/>
      <c r="D209" s="4"/>
      <c r="E209" s="4"/>
      <c r="F209" s="4"/>
      <c r="G209" s="4"/>
      <c r="H209" s="3"/>
      <c r="I209" s="3"/>
      <c r="J209" s="4"/>
      <c r="K209" s="4"/>
      <c r="L209" s="3"/>
      <c r="M209" s="4"/>
      <c r="N209" s="3"/>
      <c r="O209" s="4"/>
      <c r="P209" s="4"/>
      <c r="Q209" s="4"/>
    </row>
    <row r="210" ht="15.75" customHeight="1">
      <c r="A210" s="4"/>
      <c r="B210" s="3"/>
      <c r="C210" s="3"/>
      <c r="D210" s="4"/>
      <c r="E210" s="4"/>
      <c r="F210" s="4"/>
      <c r="G210" s="4"/>
      <c r="H210" s="3"/>
      <c r="I210" s="3"/>
      <c r="J210" s="4"/>
      <c r="K210" s="4"/>
      <c r="L210" s="3"/>
      <c r="M210" s="4"/>
      <c r="N210" s="3"/>
      <c r="O210" s="4"/>
      <c r="P210" s="4"/>
      <c r="Q210" s="4"/>
    </row>
    <row r="211" ht="15.75" customHeight="1">
      <c r="A211" s="4"/>
      <c r="B211" s="3"/>
      <c r="C211" s="3"/>
      <c r="D211" s="4"/>
      <c r="E211" s="4"/>
      <c r="F211" s="4"/>
      <c r="G211" s="4"/>
      <c r="H211" s="3"/>
      <c r="I211" s="3"/>
      <c r="J211" s="4"/>
      <c r="K211" s="4"/>
      <c r="L211" s="3"/>
      <c r="M211" s="4"/>
      <c r="N211" s="3"/>
      <c r="O211" s="4"/>
      <c r="P211" s="4"/>
      <c r="Q211" s="4"/>
    </row>
    <row r="212" ht="15.75" customHeight="1">
      <c r="A212" s="4"/>
      <c r="B212" s="3"/>
      <c r="C212" s="3"/>
      <c r="D212" s="4"/>
      <c r="E212" s="4"/>
      <c r="F212" s="4"/>
      <c r="G212" s="4"/>
      <c r="H212" s="3"/>
      <c r="I212" s="3"/>
      <c r="J212" s="4"/>
      <c r="K212" s="4"/>
      <c r="L212" s="3"/>
      <c r="M212" s="4"/>
      <c r="N212" s="3"/>
      <c r="O212" s="4"/>
      <c r="P212" s="4"/>
      <c r="Q212" s="4"/>
    </row>
    <row r="213" ht="15.75" customHeight="1">
      <c r="A213" s="4"/>
      <c r="B213" s="3"/>
      <c r="C213" s="3"/>
      <c r="D213" s="4"/>
      <c r="E213" s="4"/>
      <c r="F213" s="4"/>
      <c r="G213" s="4"/>
      <c r="H213" s="3"/>
      <c r="I213" s="3"/>
      <c r="J213" s="4"/>
      <c r="K213" s="4"/>
      <c r="L213" s="3"/>
      <c r="M213" s="4"/>
      <c r="N213" s="3"/>
      <c r="O213" s="4"/>
      <c r="P213" s="4"/>
      <c r="Q213" s="4"/>
    </row>
    <row r="214" ht="15.75" customHeight="1">
      <c r="A214" s="4"/>
      <c r="B214" s="3"/>
      <c r="C214" s="3"/>
      <c r="D214" s="4"/>
      <c r="E214" s="4"/>
      <c r="F214" s="4"/>
      <c r="G214" s="4"/>
      <c r="H214" s="3"/>
      <c r="I214" s="3"/>
      <c r="J214" s="4"/>
      <c r="K214" s="4"/>
      <c r="L214" s="3"/>
      <c r="M214" s="4"/>
      <c r="N214" s="3"/>
      <c r="O214" s="4"/>
      <c r="P214" s="4"/>
      <c r="Q214" s="4"/>
    </row>
    <row r="215" ht="15.75" customHeight="1">
      <c r="A215" s="4"/>
      <c r="B215" s="3"/>
      <c r="C215" s="3"/>
      <c r="D215" s="4"/>
      <c r="E215" s="4"/>
      <c r="F215" s="4"/>
      <c r="G215" s="4"/>
      <c r="H215" s="3"/>
      <c r="I215" s="3"/>
      <c r="J215" s="4"/>
      <c r="K215" s="4"/>
      <c r="L215" s="3"/>
      <c r="M215" s="4"/>
      <c r="N215" s="3"/>
      <c r="O215" s="4"/>
      <c r="P215" s="4"/>
      <c r="Q215" s="4"/>
    </row>
    <row r="216" ht="15.75" customHeight="1">
      <c r="A216" s="4"/>
      <c r="B216" s="3"/>
      <c r="C216" s="3"/>
      <c r="D216" s="4"/>
      <c r="E216" s="4"/>
      <c r="F216" s="4"/>
      <c r="G216" s="4"/>
      <c r="H216" s="3"/>
      <c r="I216" s="3"/>
      <c r="J216" s="4"/>
      <c r="K216" s="4"/>
      <c r="L216" s="3"/>
      <c r="M216" s="4"/>
      <c r="N216" s="3"/>
      <c r="O216" s="4"/>
      <c r="P216" s="4"/>
      <c r="Q216" s="4"/>
    </row>
    <row r="217" ht="15.75" customHeight="1">
      <c r="A217" s="4"/>
      <c r="B217" s="3"/>
      <c r="C217" s="3"/>
      <c r="D217" s="4"/>
      <c r="E217" s="4"/>
      <c r="F217" s="4"/>
      <c r="G217" s="4"/>
      <c r="H217" s="3"/>
      <c r="I217" s="3"/>
      <c r="J217" s="4"/>
      <c r="K217" s="4"/>
      <c r="L217" s="3"/>
      <c r="M217" s="4"/>
      <c r="N217" s="3"/>
      <c r="O217" s="4"/>
      <c r="P217" s="4"/>
      <c r="Q217" s="4"/>
    </row>
    <row r="218" ht="15.75" customHeight="1">
      <c r="A218" s="4"/>
      <c r="B218" s="3"/>
      <c r="C218" s="3"/>
      <c r="D218" s="4"/>
      <c r="E218" s="4"/>
      <c r="F218" s="4"/>
      <c r="G218" s="4"/>
      <c r="H218" s="3"/>
      <c r="I218" s="3"/>
      <c r="J218" s="4"/>
      <c r="K218" s="4"/>
      <c r="L218" s="3"/>
      <c r="M218" s="4"/>
      <c r="N218" s="3"/>
      <c r="O218" s="4"/>
      <c r="P218" s="4"/>
      <c r="Q218" s="4"/>
    </row>
    <row r="219" ht="15.75" customHeight="1">
      <c r="A219" s="4"/>
      <c r="B219" s="3"/>
      <c r="C219" s="3"/>
      <c r="D219" s="4"/>
      <c r="E219" s="4"/>
      <c r="F219" s="4"/>
      <c r="G219" s="4"/>
      <c r="H219" s="3"/>
      <c r="I219" s="3"/>
      <c r="J219" s="4"/>
      <c r="K219" s="4"/>
      <c r="L219" s="3"/>
      <c r="M219" s="4"/>
      <c r="N219" s="3"/>
      <c r="O219" s="4"/>
      <c r="P219" s="4"/>
      <c r="Q219" s="4"/>
    </row>
    <row r="220" ht="15.75" customHeight="1">
      <c r="A220" s="4"/>
      <c r="B220" s="3"/>
      <c r="C220" s="3"/>
      <c r="D220" s="4"/>
      <c r="E220" s="4"/>
      <c r="F220" s="4"/>
      <c r="G220" s="4"/>
      <c r="H220" s="3"/>
      <c r="I220" s="3"/>
      <c r="J220" s="4"/>
      <c r="K220" s="4"/>
      <c r="L220" s="3"/>
      <c r="M220" s="4"/>
      <c r="N220" s="3"/>
      <c r="O220" s="4"/>
      <c r="P220" s="4"/>
      <c r="Q220" s="4"/>
    </row>
    <row r="221" ht="15.75" customHeight="1">
      <c r="A221" s="4"/>
      <c r="B221" s="3"/>
      <c r="C221" s="3"/>
      <c r="D221" s="4"/>
      <c r="E221" s="4"/>
      <c r="F221" s="4"/>
      <c r="G221" s="4"/>
      <c r="H221" s="3"/>
      <c r="I221" s="3"/>
      <c r="J221" s="4"/>
      <c r="K221" s="4"/>
      <c r="L221" s="3"/>
      <c r="M221" s="4"/>
      <c r="N221" s="3"/>
      <c r="O221" s="4"/>
      <c r="P221" s="4"/>
      <c r="Q221" s="4"/>
    </row>
    <row r="222" ht="15.75" customHeight="1">
      <c r="A222" s="4"/>
      <c r="B222" s="3"/>
      <c r="C222" s="3"/>
      <c r="D222" s="4"/>
      <c r="E222" s="4"/>
      <c r="F222" s="4"/>
      <c r="G222" s="4"/>
      <c r="H222" s="3"/>
      <c r="I222" s="3"/>
      <c r="J222" s="4"/>
      <c r="K222" s="4"/>
      <c r="L222" s="3"/>
      <c r="M222" s="4"/>
      <c r="N222" s="3"/>
      <c r="O222" s="4"/>
      <c r="P222" s="4"/>
      <c r="Q222" s="4"/>
    </row>
    <row r="223" ht="15.75" customHeight="1">
      <c r="A223" s="4"/>
      <c r="B223" s="3"/>
      <c r="C223" s="3"/>
      <c r="D223" s="4"/>
      <c r="E223" s="4"/>
      <c r="F223" s="4"/>
      <c r="G223" s="4"/>
      <c r="H223" s="3"/>
      <c r="I223" s="3"/>
      <c r="J223" s="4"/>
      <c r="K223" s="4"/>
      <c r="L223" s="3"/>
      <c r="M223" s="4"/>
      <c r="N223" s="3"/>
      <c r="O223" s="4"/>
      <c r="P223" s="4"/>
      <c r="Q223" s="4"/>
    </row>
    <row r="224" ht="15.75" customHeight="1">
      <c r="A224" s="4"/>
      <c r="B224" s="3"/>
      <c r="C224" s="3"/>
      <c r="D224" s="4"/>
      <c r="E224" s="4"/>
      <c r="F224" s="4"/>
      <c r="G224" s="4"/>
      <c r="H224" s="3"/>
      <c r="I224" s="3"/>
      <c r="J224" s="4"/>
      <c r="K224" s="4"/>
      <c r="L224" s="3"/>
      <c r="M224" s="4"/>
      <c r="N224" s="3"/>
      <c r="O224" s="4"/>
      <c r="P224" s="4"/>
      <c r="Q224" s="4"/>
    </row>
    <row r="225" ht="15.75" customHeight="1">
      <c r="A225" s="4"/>
      <c r="B225" s="3"/>
      <c r="C225" s="3"/>
      <c r="D225" s="4"/>
      <c r="E225" s="4"/>
      <c r="F225" s="4"/>
      <c r="G225" s="4"/>
      <c r="H225" s="3"/>
      <c r="I225" s="3"/>
      <c r="J225" s="4"/>
      <c r="K225" s="4"/>
      <c r="L225" s="3"/>
      <c r="M225" s="4"/>
      <c r="N225" s="3"/>
      <c r="O225" s="4"/>
      <c r="P225" s="4"/>
      <c r="Q225" s="4"/>
    </row>
    <row r="226" ht="15.75" customHeight="1">
      <c r="A226" s="4"/>
      <c r="B226" s="3"/>
      <c r="C226" s="3"/>
      <c r="D226" s="4"/>
      <c r="E226" s="4"/>
      <c r="F226" s="4"/>
      <c r="G226" s="4"/>
      <c r="H226" s="3"/>
      <c r="I226" s="3"/>
      <c r="J226" s="4"/>
      <c r="K226" s="4"/>
      <c r="L226" s="3"/>
      <c r="M226" s="4"/>
      <c r="N226" s="3"/>
      <c r="O226" s="4"/>
      <c r="P226" s="4"/>
      <c r="Q226" s="4"/>
    </row>
    <row r="227" ht="15.75" customHeight="1">
      <c r="A227" s="4"/>
      <c r="B227" s="3"/>
      <c r="C227" s="3"/>
      <c r="D227" s="4"/>
      <c r="E227" s="4"/>
      <c r="F227" s="4"/>
      <c r="G227" s="4"/>
      <c r="H227" s="3"/>
      <c r="I227" s="3"/>
      <c r="J227" s="4"/>
      <c r="K227" s="4"/>
      <c r="L227" s="3"/>
      <c r="M227" s="4"/>
      <c r="N227" s="3"/>
      <c r="O227" s="4"/>
      <c r="P227" s="4"/>
      <c r="Q227" s="4"/>
    </row>
    <row r="228" ht="15.75" customHeight="1">
      <c r="A228" s="4"/>
      <c r="B228" s="3"/>
      <c r="C228" s="3"/>
      <c r="D228" s="4"/>
      <c r="E228" s="4"/>
      <c r="F228" s="4"/>
      <c r="G228" s="4"/>
      <c r="H228" s="3"/>
      <c r="I228" s="3"/>
      <c r="J228" s="4"/>
      <c r="K228" s="4"/>
      <c r="L228" s="3"/>
      <c r="M228" s="4"/>
      <c r="N228" s="3"/>
      <c r="O228" s="4"/>
      <c r="P228" s="4"/>
      <c r="Q228" s="4"/>
    </row>
    <row r="229" ht="15.75" customHeight="1">
      <c r="A229" s="4"/>
      <c r="B229" s="3"/>
      <c r="C229" s="3"/>
      <c r="D229" s="4"/>
      <c r="E229" s="4"/>
      <c r="F229" s="4"/>
      <c r="G229" s="4"/>
      <c r="H229" s="3"/>
      <c r="I229" s="3"/>
      <c r="J229" s="4"/>
      <c r="K229" s="4"/>
      <c r="L229" s="3"/>
      <c r="M229" s="4"/>
      <c r="N229" s="3"/>
      <c r="O229" s="4"/>
      <c r="P229" s="4"/>
      <c r="Q229" s="4"/>
    </row>
    <row r="230" ht="15.75" customHeight="1">
      <c r="A230" s="4"/>
      <c r="B230" s="3"/>
      <c r="C230" s="3"/>
      <c r="D230" s="4"/>
      <c r="E230" s="4"/>
      <c r="F230" s="4"/>
      <c r="G230" s="4"/>
      <c r="H230" s="3"/>
      <c r="I230" s="3"/>
      <c r="J230" s="4"/>
      <c r="K230" s="4"/>
      <c r="L230" s="3"/>
      <c r="M230" s="4"/>
      <c r="N230" s="3"/>
      <c r="O230" s="4"/>
      <c r="P230" s="4"/>
      <c r="Q230" s="4"/>
    </row>
    <row r="231" ht="15.75" customHeight="1">
      <c r="A231" s="4"/>
      <c r="B231" s="3"/>
      <c r="C231" s="3"/>
      <c r="D231" s="4"/>
      <c r="E231" s="4"/>
      <c r="F231" s="4"/>
      <c r="G231" s="4"/>
      <c r="H231" s="3"/>
      <c r="I231" s="3"/>
      <c r="J231" s="4"/>
      <c r="K231" s="4"/>
      <c r="L231" s="3"/>
      <c r="M231" s="4"/>
      <c r="N231" s="3"/>
      <c r="O231" s="4"/>
      <c r="P231" s="4"/>
      <c r="Q231" s="4"/>
    </row>
    <row r="232" ht="15.75" customHeight="1">
      <c r="A232" s="4"/>
      <c r="B232" s="3"/>
      <c r="C232" s="3"/>
      <c r="D232" s="4"/>
      <c r="E232" s="4"/>
      <c r="F232" s="4"/>
      <c r="G232" s="4"/>
      <c r="H232" s="3"/>
      <c r="I232" s="3"/>
      <c r="J232" s="4"/>
      <c r="K232" s="4"/>
      <c r="L232" s="3"/>
      <c r="M232" s="4"/>
      <c r="N232" s="3"/>
      <c r="O232" s="4"/>
      <c r="P232" s="4"/>
      <c r="Q232" s="4"/>
    </row>
    <row r="233" ht="15.75" customHeight="1">
      <c r="A233" s="4"/>
      <c r="B233" s="3"/>
      <c r="C233" s="3"/>
      <c r="D233" s="4"/>
      <c r="E233" s="4"/>
      <c r="F233" s="4"/>
      <c r="G233" s="4"/>
      <c r="H233" s="3"/>
      <c r="I233" s="3"/>
      <c r="J233" s="4"/>
      <c r="K233" s="4"/>
      <c r="L233" s="3"/>
      <c r="M233" s="4"/>
      <c r="N233" s="3"/>
      <c r="O233" s="4"/>
      <c r="P233" s="4"/>
      <c r="Q233" s="4"/>
    </row>
    <row r="234" ht="15.75" customHeight="1">
      <c r="A234" s="4"/>
      <c r="B234" s="3"/>
      <c r="C234" s="3"/>
      <c r="D234" s="4"/>
      <c r="E234" s="4"/>
      <c r="F234" s="4"/>
      <c r="G234" s="4"/>
      <c r="H234" s="3"/>
      <c r="I234" s="3"/>
      <c r="J234" s="4"/>
      <c r="K234" s="4"/>
      <c r="L234" s="3"/>
      <c r="M234" s="4"/>
      <c r="N234" s="3"/>
      <c r="O234" s="4"/>
      <c r="P234" s="4"/>
      <c r="Q234" s="4"/>
    </row>
    <row r="235" ht="15.75" customHeight="1">
      <c r="A235" s="4"/>
      <c r="B235" s="3"/>
      <c r="C235" s="3"/>
      <c r="D235" s="4"/>
      <c r="E235" s="4"/>
      <c r="F235" s="4"/>
      <c r="G235" s="4"/>
      <c r="H235" s="3"/>
      <c r="I235" s="3"/>
      <c r="J235" s="4"/>
      <c r="K235" s="4"/>
      <c r="L235" s="3"/>
      <c r="M235" s="4"/>
      <c r="N235" s="3"/>
      <c r="O235" s="4"/>
      <c r="P235" s="4"/>
      <c r="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5.14"/>
    <col customWidth="1" min="3" max="3" width="18.29"/>
    <col customWidth="1" min="4" max="4" width="20.14"/>
    <col customWidth="1" min="5" max="5" width="19.71"/>
    <col customWidth="1" min="6" max="6" width="11.29"/>
    <col customWidth="1" min="7" max="7" width="24.14"/>
    <col customWidth="1" min="8" max="8" width="15.0"/>
    <col customWidth="1" min="9" max="9" width="17.14"/>
    <col customWidth="1" min="10" max="10" width="12.43"/>
    <col customWidth="1" min="11" max="11" width="16.43"/>
    <col customWidth="1" min="12" max="12" width="17.14"/>
    <col customWidth="1" min="13" max="13" width="19.29"/>
    <col customWidth="1" min="14" max="14" width="17.14"/>
  </cols>
  <sheetData>
    <row r="1">
      <c r="A1" s="1" t="s">
        <v>112</v>
      </c>
      <c r="B1" s="2">
        <v>2.0232148E7</v>
      </c>
      <c r="C1" s="3">
        <v>11.0</v>
      </c>
      <c r="D1" s="4">
        <v>2025.0</v>
      </c>
      <c r="E1" s="4"/>
      <c r="F1" s="4" t="s">
        <v>1</v>
      </c>
      <c r="G1" s="4" t="s">
        <v>2</v>
      </c>
      <c r="H1" s="3" t="s">
        <v>3</v>
      </c>
      <c r="I1" s="3" t="s">
        <v>4</v>
      </c>
      <c r="J1" s="4" t="s">
        <v>5</v>
      </c>
      <c r="K1" s="6" t="s">
        <v>6</v>
      </c>
      <c r="L1" s="6" t="s">
        <v>7</v>
      </c>
      <c r="M1" s="8" t="s">
        <v>8</v>
      </c>
      <c r="N1" s="8" t="s">
        <v>7</v>
      </c>
      <c r="O1" s="4"/>
      <c r="P1" s="4"/>
      <c r="Q1" s="4"/>
    </row>
    <row r="2">
      <c r="A2" s="1" t="s">
        <v>9</v>
      </c>
      <c r="B2" s="2">
        <v>365257.0</v>
      </c>
      <c r="C2" s="3"/>
      <c r="D2" s="4"/>
      <c r="E2" s="4"/>
      <c r="F2" s="4"/>
      <c r="G2" s="3"/>
      <c r="H2" s="3">
        <f t="shared" ref="H2:I2" si="1">SUM(H3:H33)</f>
        <v>-745900148</v>
      </c>
      <c r="I2" s="3">
        <f t="shared" si="1"/>
        <v>425900148</v>
      </c>
      <c r="J2" s="3">
        <f>I2+H2</f>
        <v>-320000000</v>
      </c>
      <c r="K2" s="9" t="s">
        <v>10</v>
      </c>
      <c r="L2" s="9">
        <f>SUM(L3:L33)</f>
        <v>-2901019</v>
      </c>
      <c r="M2" s="11" t="s">
        <v>10</v>
      </c>
      <c r="N2" s="8">
        <f>SUM(N3:N33)</f>
        <v>-15684000</v>
      </c>
      <c r="O2" s="4"/>
      <c r="P2" s="4"/>
      <c r="Q2" s="4"/>
    </row>
    <row r="3">
      <c r="A3" s="1" t="s">
        <v>11</v>
      </c>
      <c r="B3" s="2"/>
      <c r="C3" s="3"/>
      <c r="D3" s="4"/>
      <c r="E3" s="4"/>
      <c r="F3" s="4" t="str">
        <f t="shared" ref="F3:F33" si="2">ROW()-2&amp;"/"&amp;$C$1&amp;"/"&amp;$D$1</f>
        <v>1/11/2025</v>
      </c>
      <c r="G3" s="3"/>
      <c r="H3" s="39">
        <v>-1000000.0</v>
      </c>
      <c r="I3" s="39">
        <v>1000000.0</v>
      </c>
      <c r="J3" s="3"/>
      <c r="K3" s="4"/>
      <c r="L3" s="3"/>
      <c r="M3" s="4"/>
      <c r="N3" s="3"/>
      <c r="O3" s="4"/>
      <c r="P3" s="4"/>
      <c r="Q3" s="4"/>
    </row>
    <row r="4">
      <c r="A4" s="14"/>
      <c r="B4" s="3"/>
      <c r="C4" s="3"/>
      <c r="D4" s="4"/>
      <c r="E4" s="4"/>
      <c r="F4" s="4" t="str">
        <f t="shared" si="2"/>
        <v>2/11/2025</v>
      </c>
      <c r="G4" s="3"/>
      <c r="H4" s="3"/>
      <c r="I4" s="3"/>
      <c r="J4" s="3"/>
      <c r="K4" s="4"/>
      <c r="L4" s="3"/>
      <c r="M4" s="4"/>
      <c r="N4" s="3"/>
      <c r="O4" s="4"/>
      <c r="P4" s="4"/>
      <c r="Q4" s="4"/>
    </row>
    <row r="5">
      <c r="A5" s="14"/>
      <c r="B5" s="3"/>
      <c r="C5" s="3"/>
      <c r="D5" s="4"/>
      <c r="E5" s="4"/>
      <c r="F5" s="4" t="str">
        <f t="shared" si="2"/>
        <v>3/11/2025</v>
      </c>
      <c r="G5" s="3"/>
      <c r="H5" s="3"/>
      <c r="I5" s="3"/>
      <c r="J5" s="3"/>
      <c r="K5" s="4" t="s">
        <v>113</v>
      </c>
      <c r="L5" s="3">
        <v>-2301019.0</v>
      </c>
      <c r="M5" s="4" t="s">
        <v>114</v>
      </c>
      <c r="N5" s="3">
        <v>-1.5684E7</v>
      </c>
      <c r="O5" s="4"/>
      <c r="P5" s="4"/>
      <c r="Q5" s="4"/>
    </row>
    <row r="6">
      <c r="A6" s="17" t="s">
        <v>17</v>
      </c>
      <c r="B6" s="18">
        <f>-L2</f>
        <v>2901019</v>
      </c>
      <c r="C6" s="3"/>
      <c r="D6" s="4"/>
      <c r="E6" s="4"/>
      <c r="F6" s="4" t="str">
        <f t="shared" si="2"/>
        <v>4/11/2025</v>
      </c>
      <c r="G6" s="3"/>
      <c r="H6" s="3"/>
      <c r="I6" s="3"/>
      <c r="J6" s="3"/>
      <c r="K6" s="4"/>
      <c r="L6" s="3"/>
      <c r="M6" s="4"/>
      <c r="N6" s="3"/>
      <c r="O6" s="4"/>
      <c r="P6" s="4"/>
      <c r="Q6" s="4"/>
    </row>
    <row r="7">
      <c r="A7" s="14"/>
      <c r="B7" s="19">
        <f>B6+SUM(B1:B3)</f>
        <v>23498424</v>
      </c>
      <c r="C7" s="3"/>
      <c r="D7" s="4"/>
      <c r="E7" s="4"/>
      <c r="F7" s="4" t="str">
        <f t="shared" si="2"/>
        <v>5/11/2025</v>
      </c>
      <c r="G7" s="3"/>
      <c r="H7" s="3"/>
      <c r="I7" s="3"/>
      <c r="J7" s="3"/>
      <c r="K7" s="4"/>
      <c r="L7" s="3"/>
      <c r="M7" s="4"/>
      <c r="N7" s="3"/>
      <c r="O7" s="4"/>
      <c r="P7" s="4"/>
      <c r="Q7" s="4"/>
    </row>
    <row r="8">
      <c r="A8" s="20" t="s">
        <v>22</v>
      </c>
      <c r="B8" s="21"/>
      <c r="C8" s="3"/>
      <c r="D8" s="4"/>
      <c r="E8" s="4"/>
      <c r="F8" s="4" t="str">
        <f t="shared" si="2"/>
        <v>6/11/2025</v>
      </c>
      <c r="G8" s="3"/>
      <c r="H8" s="3"/>
      <c r="I8" s="3"/>
      <c r="J8" s="3"/>
      <c r="K8" s="4"/>
      <c r="L8" s="3"/>
      <c r="M8" s="4"/>
      <c r="N8" s="3"/>
      <c r="O8" s="4"/>
      <c r="P8" s="4"/>
      <c r="Q8" s="4"/>
    </row>
    <row r="9">
      <c r="A9" s="24" t="s">
        <v>24</v>
      </c>
      <c r="B9" s="21">
        <v>1.2E7</v>
      </c>
      <c r="C9" s="3"/>
      <c r="D9" s="4"/>
      <c r="E9" s="4"/>
      <c r="F9" s="4" t="str">
        <f t="shared" si="2"/>
        <v>7/11/2025</v>
      </c>
      <c r="G9" s="3"/>
      <c r="H9" s="3"/>
      <c r="I9" s="3"/>
      <c r="J9" s="3"/>
      <c r="K9" s="4"/>
      <c r="L9" s="3"/>
      <c r="M9" s="4"/>
      <c r="N9" s="3"/>
      <c r="O9" s="4"/>
      <c r="P9" s="4"/>
      <c r="Q9" s="4"/>
    </row>
    <row r="10">
      <c r="A10" s="26" t="s">
        <v>25</v>
      </c>
      <c r="B10" s="27">
        <v>1.9E7</v>
      </c>
      <c r="C10" s="3"/>
      <c r="D10" s="4"/>
      <c r="E10" s="4"/>
      <c r="F10" s="4" t="str">
        <f t="shared" si="2"/>
        <v>8/11/2025</v>
      </c>
      <c r="G10" s="3"/>
      <c r="H10" s="3"/>
      <c r="I10" s="3"/>
      <c r="J10" s="3"/>
      <c r="K10" s="4"/>
      <c r="L10" s="3"/>
      <c r="M10" s="4"/>
      <c r="N10" s="3"/>
      <c r="O10" s="4"/>
      <c r="P10" s="4"/>
      <c r="Q10" s="4"/>
    </row>
    <row r="11">
      <c r="A11" s="26" t="s">
        <v>26</v>
      </c>
      <c r="B11" s="27">
        <v>1.0E7</v>
      </c>
      <c r="C11" s="3"/>
      <c r="D11" s="4"/>
      <c r="E11" s="4"/>
      <c r="F11" s="4" t="str">
        <f t="shared" si="2"/>
        <v>9/11/2025</v>
      </c>
      <c r="G11" s="3"/>
      <c r="H11" s="3"/>
      <c r="I11" s="3"/>
      <c r="J11" s="3"/>
      <c r="K11" s="4"/>
      <c r="L11" s="3"/>
      <c r="M11" s="4"/>
      <c r="N11" s="3"/>
      <c r="O11" s="4"/>
      <c r="P11" s="4"/>
      <c r="Q11" s="4"/>
    </row>
    <row r="12">
      <c r="A12" s="26" t="s">
        <v>27</v>
      </c>
      <c r="B12" s="27">
        <v>5000000.0</v>
      </c>
      <c r="C12" s="3"/>
      <c r="D12" s="4"/>
      <c r="E12" s="4"/>
      <c r="F12" s="4" t="str">
        <f t="shared" si="2"/>
        <v>10/11/2025</v>
      </c>
      <c r="G12" s="3"/>
      <c r="H12" s="3"/>
      <c r="I12" s="3"/>
      <c r="J12" s="3"/>
      <c r="K12" s="4"/>
      <c r="L12" s="3"/>
      <c r="M12" s="4"/>
      <c r="N12" s="3"/>
      <c r="O12" s="4"/>
      <c r="P12" s="4"/>
      <c r="Q12" s="4"/>
    </row>
    <row r="13">
      <c r="A13" s="28" t="s">
        <v>28</v>
      </c>
      <c r="B13" s="28">
        <f>SUM(B8:B12)-B7</f>
        <v>22501576</v>
      </c>
      <c r="C13" s="3"/>
      <c r="D13" s="4"/>
      <c r="E13" s="4"/>
      <c r="F13" s="4" t="str">
        <f t="shared" si="2"/>
        <v>11/11/2025</v>
      </c>
      <c r="G13" s="39" t="s">
        <v>115</v>
      </c>
      <c r="H13" s="39">
        <v>-1.0E8</v>
      </c>
      <c r="I13" s="39">
        <v>1.0E8</v>
      </c>
      <c r="J13" s="3"/>
      <c r="K13" s="4"/>
      <c r="L13" s="3"/>
      <c r="M13" s="4"/>
      <c r="N13" s="3"/>
      <c r="O13" s="4"/>
      <c r="P13" s="4"/>
      <c r="Q13" s="4"/>
    </row>
    <row r="14">
      <c r="A14" s="29" t="s">
        <v>29</v>
      </c>
      <c r="B14" s="29">
        <v>2.2E7</v>
      </c>
      <c r="C14" s="3"/>
      <c r="D14" s="4"/>
      <c r="E14" s="4"/>
      <c r="F14" s="4" t="str">
        <f t="shared" si="2"/>
        <v>12/11/2025</v>
      </c>
      <c r="G14" s="3" t="s">
        <v>116</v>
      </c>
      <c r="H14" s="3"/>
      <c r="I14" s="39">
        <v>5000000.0</v>
      </c>
      <c r="J14" s="3"/>
      <c r="K14" s="4"/>
      <c r="L14" s="3"/>
      <c r="M14" s="4"/>
      <c r="N14" s="3"/>
      <c r="O14" s="4"/>
      <c r="P14" s="4"/>
      <c r="Q14" s="4"/>
    </row>
    <row r="15">
      <c r="A15" s="29" t="s">
        <v>31</v>
      </c>
      <c r="B15" s="29">
        <v>501576.0</v>
      </c>
      <c r="C15" s="3">
        <f>B13-B14-B15</f>
        <v>0</v>
      </c>
      <c r="D15" s="4"/>
      <c r="E15" s="4"/>
      <c r="F15" s="4" t="str">
        <f t="shared" si="2"/>
        <v>13/11/2025</v>
      </c>
      <c r="G15" s="3"/>
      <c r="H15" s="3"/>
      <c r="I15" s="39"/>
      <c r="J15" s="3"/>
      <c r="K15" s="4"/>
      <c r="L15" s="3"/>
      <c r="M15" s="4"/>
      <c r="N15" s="3"/>
      <c r="O15" s="4"/>
      <c r="P15" s="4"/>
      <c r="Q15" s="4"/>
    </row>
    <row r="16">
      <c r="A16" s="4"/>
      <c r="B16" s="33" t="s">
        <v>32</v>
      </c>
      <c r="C16" s="33" t="s">
        <v>33</v>
      </c>
      <c r="D16" s="4" t="s">
        <v>34</v>
      </c>
      <c r="E16" s="4" t="s">
        <v>35</v>
      </c>
      <c r="F16" s="4" t="str">
        <f t="shared" si="2"/>
        <v>14/11/2025</v>
      </c>
      <c r="G16" s="3" t="s">
        <v>52</v>
      </c>
      <c r="H16" s="3"/>
      <c r="I16" s="39">
        <v>9000000.0</v>
      </c>
      <c r="J16" s="3"/>
      <c r="K16" s="4"/>
      <c r="L16" s="3"/>
      <c r="M16" s="4"/>
      <c r="N16" s="3"/>
      <c r="O16" s="4"/>
      <c r="P16" s="4"/>
      <c r="Q16" s="4"/>
    </row>
    <row r="17">
      <c r="A17" s="34" t="s">
        <v>36</v>
      </c>
      <c r="B17" s="8">
        <f>C17+B14</f>
        <v>-4469000000</v>
      </c>
      <c r="C17" s="33">
        <f t="array" ref="C17">INDIRECT("'"&amp;C1-1&amp;"-"&amp;D1&amp;"'!b17")</f>
        <v>-4491000000</v>
      </c>
      <c r="D17" s="3">
        <v>-4.5E9</v>
      </c>
      <c r="E17" s="3">
        <f t="shared" ref="E17:E18" si="3">B17-D17</f>
        <v>31000000</v>
      </c>
      <c r="F17" s="4" t="str">
        <f t="shared" si="2"/>
        <v>15/11/2025</v>
      </c>
      <c r="G17" s="39" t="s">
        <v>117</v>
      </c>
      <c r="H17" s="39">
        <v>-1668000.0</v>
      </c>
      <c r="I17" s="39"/>
      <c r="J17" s="3"/>
      <c r="K17" s="4"/>
      <c r="L17" s="3"/>
      <c r="M17" s="4"/>
      <c r="N17" s="3"/>
      <c r="O17" s="4"/>
      <c r="P17" s="4"/>
      <c r="Q17" s="4"/>
    </row>
    <row r="18">
      <c r="A18" s="34" t="s">
        <v>37</v>
      </c>
      <c r="B18" s="8">
        <f>C18+J2+N2-B15</f>
        <v>-508885571</v>
      </c>
      <c r="C18" s="33">
        <f t="array" ref="C18">INDIRECT("'"&amp;C1-1&amp;"-"&amp;D1&amp;"'!b18")</f>
        <v>-172699995</v>
      </c>
      <c r="D18" s="3">
        <v>-1.72699995E8</v>
      </c>
      <c r="E18" s="3">
        <f t="shared" si="3"/>
        <v>-336185576</v>
      </c>
      <c r="F18" s="4" t="str">
        <f t="shared" si="2"/>
        <v>16/11/2025</v>
      </c>
      <c r="G18" s="39"/>
      <c r="H18" s="39"/>
      <c r="I18" s="39"/>
      <c r="J18" s="3"/>
      <c r="K18" s="4"/>
      <c r="L18" s="3"/>
      <c r="M18" s="4"/>
      <c r="N18" s="3"/>
      <c r="O18" s="4"/>
      <c r="P18" s="4"/>
      <c r="Q18" s="4"/>
    </row>
    <row r="19">
      <c r="A19" s="35" t="s">
        <v>38</v>
      </c>
      <c r="B19" s="11">
        <f>B18+B17</f>
        <v>-4977885571</v>
      </c>
      <c r="C19" s="3"/>
      <c r="D19" s="3">
        <f t="shared" ref="D19:E19" si="4">SUM(D17:D18)</f>
        <v>-4672699995</v>
      </c>
      <c r="E19" s="3">
        <f t="shared" si="4"/>
        <v>-305185576</v>
      </c>
      <c r="F19" s="4" t="str">
        <f t="shared" si="2"/>
        <v>17/11/2025</v>
      </c>
      <c r="G19" s="39"/>
      <c r="H19" s="39"/>
      <c r="I19" s="39"/>
      <c r="J19" s="3"/>
      <c r="K19" s="4"/>
      <c r="L19" s="3"/>
      <c r="M19" s="4"/>
      <c r="N19" s="3"/>
      <c r="O19" s="4"/>
      <c r="P19" s="4"/>
      <c r="Q19" s="4"/>
    </row>
    <row r="20">
      <c r="A20" s="4"/>
      <c r="B20" s="3"/>
      <c r="C20" s="3"/>
      <c r="D20" s="4"/>
      <c r="E20" s="4"/>
      <c r="F20" s="4" t="str">
        <f t="shared" si="2"/>
        <v>18/11/2025</v>
      </c>
      <c r="G20" s="39"/>
      <c r="H20" s="39"/>
      <c r="I20" s="39"/>
      <c r="J20" s="3"/>
      <c r="K20" s="4"/>
      <c r="L20" s="3"/>
      <c r="M20" s="4"/>
      <c r="N20" s="3"/>
      <c r="O20" s="4"/>
      <c r="P20" s="4"/>
      <c r="Q20" s="4"/>
    </row>
    <row r="21" ht="15.75" customHeight="1">
      <c r="A21" s="4"/>
      <c r="B21" s="3"/>
      <c r="C21" s="3"/>
      <c r="D21" s="4"/>
      <c r="E21" s="4"/>
      <c r="F21" s="4" t="str">
        <f t="shared" si="2"/>
        <v>19/11/2025</v>
      </c>
      <c r="G21" s="39" t="s">
        <v>118</v>
      </c>
      <c r="H21" s="39"/>
      <c r="I21" s="39">
        <v>1668000.0</v>
      </c>
      <c r="J21" s="3"/>
      <c r="K21" s="4"/>
      <c r="L21" s="3"/>
      <c r="M21" s="4"/>
      <c r="N21" s="3"/>
      <c r="O21" s="4"/>
      <c r="P21" s="4"/>
      <c r="Q21" s="4"/>
    </row>
    <row r="22" ht="15.75" customHeight="1">
      <c r="A22" s="4"/>
      <c r="B22" s="3"/>
      <c r="C22" s="3"/>
      <c r="D22" s="4"/>
      <c r="E22" s="4"/>
      <c r="F22" s="4" t="str">
        <f t="shared" si="2"/>
        <v>20/11/2025</v>
      </c>
      <c r="G22" s="3" t="s">
        <v>119</v>
      </c>
      <c r="H22" s="3"/>
      <c r="I22" s="39">
        <v>1.0E8</v>
      </c>
      <c r="J22" s="3"/>
      <c r="K22" s="4"/>
      <c r="L22" s="3"/>
      <c r="M22" s="4"/>
      <c r="N22" s="3"/>
      <c r="O22" s="4"/>
      <c r="P22" s="4"/>
      <c r="Q22" s="4"/>
    </row>
    <row r="23" ht="15.75" customHeight="1">
      <c r="A23" s="4"/>
      <c r="B23" s="3"/>
      <c r="C23" s="3"/>
      <c r="D23" s="4"/>
      <c r="E23" s="4"/>
      <c r="F23" s="4" t="str">
        <f t="shared" si="2"/>
        <v>21/11/2025</v>
      </c>
      <c r="G23" s="3" t="s">
        <v>120</v>
      </c>
      <c r="H23" s="39">
        <v>-1.0E8</v>
      </c>
      <c r="I23" s="39">
        <v>2.0E8</v>
      </c>
      <c r="J23" s="3"/>
      <c r="K23" s="4"/>
      <c r="L23" s="3"/>
      <c r="M23" s="4"/>
      <c r="N23" s="3"/>
      <c r="O23" s="4"/>
      <c r="P23" s="4"/>
      <c r="Q23" s="4"/>
    </row>
    <row r="24" ht="15.75" customHeight="1">
      <c r="A24" s="4"/>
      <c r="B24" s="3"/>
      <c r="C24" s="3"/>
      <c r="D24" s="4"/>
      <c r="E24" s="4"/>
      <c r="F24" s="4" t="str">
        <f t="shared" si="2"/>
        <v>22/11/2025</v>
      </c>
      <c r="G24" s="3"/>
      <c r="H24" s="3"/>
      <c r="I24" s="3"/>
      <c r="J24" s="3"/>
      <c r="K24" s="4"/>
      <c r="L24" s="3"/>
      <c r="M24" s="4"/>
      <c r="N24" s="3"/>
      <c r="O24" s="4"/>
      <c r="P24" s="4"/>
      <c r="Q24" s="4"/>
    </row>
    <row r="25" ht="15.75" customHeight="1">
      <c r="A25" s="4"/>
      <c r="B25" s="3"/>
      <c r="C25" s="3"/>
      <c r="D25" s="4"/>
      <c r="E25" s="4"/>
      <c r="F25" s="4" t="str">
        <f t="shared" si="2"/>
        <v>23/11/2025</v>
      </c>
      <c r="G25" s="3"/>
      <c r="H25" s="3"/>
      <c r="I25" s="3"/>
      <c r="J25" s="3"/>
      <c r="K25" s="4"/>
      <c r="L25" s="3"/>
      <c r="M25" s="4"/>
      <c r="N25" s="3"/>
      <c r="O25" s="4"/>
      <c r="P25" s="4"/>
      <c r="Q25" s="4"/>
    </row>
    <row r="26" ht="15.75" customHeight="1">
      <c r="A26" s="4"/>
      <c r="B26" s="49"/>
      <c r="C26" s="3"/>
      <c r="D26" s="4"/>
      <c r="E26" s="4"/>
      <c r="F26" s="4" t="str">
        <f t="shared" si="2"/>
        <v>24/11/2025</v>
      </c>
      <c r="G26" s="3"/>
      <c r="H26" s="3"/>
      <c r="I26" s="3"/>
      <c r="J26" s="3"/>
      <c r="K26" s="4"/>
      <c r="L26" s="3"/>
      <c r="M26" s="4"/>
      <c r="N26" s="3"/>
      <c r="O26" s="4"/>
      <c r="P26" s="4"/>
      <c r="Q26" s="4"/>
    </row>
    <row r="27" ht="15.75" customHeight="1">
      <c r="A27" s="4"/>
      <c r="B27" s="50"/>
      <c r="C27" s="3"/>
      <c r="D27" s="4"/>
      <c r="E27" s="4"/>
      <c r="F27" s="4" t="str">
        <f t="shared" si="2"/>
        <v>25/11/2025</v>
      </c>
      <c r="G27" s="3" t="s">
        <v>121</v>
      </c>
      <c r="H27" s="39">
        <v>-2.0232148E7</v>
      </c>
      <c r="I27" s="3"/>
      <c r="J27" s="3">
        <f>H27+I14+I16</f>
        <v>-6232148</v>
      </c>
      <c r="K27" s="4" t="s">
        <v>122</v>
      </c>
      <c r="L27" s="3">
        <v>-600000.0</v>
      </c>
      <c r="M27" s="4"/>
      <c r="N27" s="3"/>
      <c r="O27" s="4"/>
      <c r="P27" s="4"/>
      <c r="Q27" s="4"/>
    </row>
    <row r="28" ht="15.75" customHeight="1">
      <c r="A28" s="4"/>
      <c r="B28" s="3"/>
      <c r="C28" s="3"/>
      <c r="D28" s="4"/>
      <c r="E28" s="4"/>
      <c r="F28" s="4" t="str">
        <f t="shared" si="2"/>
        <v>26/11/2025</v>
      </c>
      <c r="G28" s="3" t="s">
        <v>123</v>
      </c>
      <c r="H28" s="3">
        <v>-5.0E8</v>
      </c>
      <c r="I28" s="3"/>
      <c r="J28" s="3"/>
      <c r="K28" s="4"/>
      <c r="L28" s="3"/>
      <c r="M28" s="4"/>
      <c r="N28" s="3"/>
      <c r="O28" s="4"/>
      <c r="P28" s="4"/>
      <c r="Q28" s="4"/>
    </row>
    <row r="29" ht="15.75" customHeight="1">
      <c r="A29" s="4"/>
      <c r="B29" s="3"/>
      <c r="C29" s="3"/>
      <c r="D29" s="4"/>
      <c r="E29" s="4"/>
      <c r="F29" s="4" t="str">
        <f t="shared" si="2"/>
        <v>27/11/2025</v>
      </c>
      <c r="G29" s="39" t="s">
        <v>124</v>
      </c>
      <c r="H29" s="39">
        <v>-3000000.0</v>
      </c>
      <c r="I29" s="39">
        <v>3000000.0</v>
      </c>
      <c r="J29" s="3"/>
      <c r="K29" s="4"/>
      <c r="L29" s="3"/>
      <c r="M29" s="4"/>
      <c r="N29" s="3"/>
      <c r="O29" s="4"/>
      <c r="P29" s="4"/>
      <c r="Q29" s="4"/>
    </row>
    <row r="30" ht="15.75" customHeight="1">
      <c r="A30" s="4"/>
      <c r="B30" s="3"/>
      <c r="C30" s="3"/>
      <c r="D30" s="4"/>
      <c r="E30" s="4"/>
      <c r="F30" s="4" t="str">
        <f t="shared" si="2"/>
        <v>28/11/2025</v>
      </c>
      <c r="G30" s="39" t="s">
        <v>125</v>
      </c>
      <c r="H30" s="39">
        <v>-2.0E7</v>
      </c>
      <c r="I30" s="3"/>
      <c r="J30" s="3"/>
      <c r="K30" s="4"/>
      <c r="L30" s="3"/>
      <c r="M30" s="4"/>
      <c r="N30" s="3"/>
      <c r="O30" s="4"/>
      <c r="P30" s="4"/>
      <c r="Q30" s="4"/>
    </row>
    <row r="31" ht="15.75" customHeight="1">
      <c r="A31" s="4"/>
      <c r="B31" s="3"/>
      <c r="C31" s="3"/>
      <c r="D31" s="4"/>
      <c r="E31" s="4"/>
      <c r="F31" s="4" t="str">
        <f t="shared" si="2"/>
        <v>29/11/2025</v>
      </c>
      <c r="G31" s="3" t="s">
        <v>126</v>
      </c>
      <c r="H31" s="3"/>
      <c r="I31" s="39">
        <f>-J27</f>
        <v>6232148</v>
      </c>
      <c r="J31" s="3"/>
      <c r="K31" s="4"/>
      <c r="L31" s="3"/>
      <c r="M31" s="4"/>
      <c r="N31" s="3"/>
      <c r="O31" s="4"/>
      <c r="P31" s="4"/>
      <c r="Q31" s="4"/>
    </row>
    <row r="32" ht="15.75" customHeight="1">
      <c r="A32" s="4"/>
      <c r="B32" s="3"/>
      <c r="C32" s="3"/>
      <c r="D32" s="4"/>
      <c r="E32" s="4"/>
      <c r="F32" s="4" t="str">
        <f t="shared" si="2"/>
        <v>30/11/2025</v>
      </c>
      <c r="G32" s="3"/>
      <c r="H32" s="3"/>
      <c r="I32" s="3"/>
      <c r="J32" s="3"/>
      <c r="K32" s="4"/>
      <c r="L32" s="3"/>
      <c r="M32" s="4"/>
      <c r="N32" s="3"/>
      <c r="O32" s="4"/>
      <c r="P32" s="4"/>
      <c r="Q32" s="4"/>
    </row>
    <row r="33" ht="15.75" customHeight="1">
      <c r="A33" s="4"/>
      <c r="B33" s="3"/>
      <c r="C33" s="3"/>
      <c r="D33" s="4"/>
      <c r="E33" s="4"/>
      <c r="F33" s="4" t="str">
        <f t="shared" si="2"/>
        <v>31/11/2025</v>
      </c>
      <c r="G33" s="3"/>
      <c r="H33" s="3"/>
      <c r="I33" s="3"/>
      <c r="J33" s="3"/>
      <c r="K33" s="4"/>
      <c r="L33" s="3"/>
      <c r="M33" s="4"/>
      <c r="N33" s="3"/>
      <c r="O33" s="4"/>
      <c r="P33" s="4"/>
      <c r="Q33" s="4"/>
    </row>
    <row r="34" ht="15.75" customHeight="1">
      <c r="A34" s="4"/>
      <c r="B34" s="3"/>
      <c r="C34" s="3"/>
      <c r="D34" s="4"/>
      <c r="E34" s="4"/>
      <c r="F34" s="4"/>
      <c r="G34" s="4"/>
      <c r="H34" s="3"/>
      <c r="I34" s="3"/>
      <c r="J34" s="4"/>
      <c r="K34" s="4"/>
      <c r="L34" s="3"/>
      <c r="M34" s="4"/>
      <c r="N34" s="3"/>
      <c r="O34" s="4"/>
      <c r="P34" s="4"/>
      <c r="Q34" s="4"/>
    </row>
    <row r="35" ht="15.75" customHeight="1">
      <c r="A35" s="4"/>
      <c r="B35" s="3"/>
      <c r="C35" s="3"/>
      <c r="D35" s="4"/>
      <c r="E35" s="4"/>
      <c r="F35" s="4"/>
      <c r="G35" s="4"/>
      <c r="H35" s="3"/>
      <c r="I35" s="3"/>
      <c r="J35" s="4"/>
      <c r="K35" s="4"/>
      <c r="L35" s="3"/>
      <c r="M35" s="4"/>
      <c r="N35" s="3"/>
      <c r="O35" s="4"/>
      <c r="P35" s="4"/>
      <c r="Q35" s="4"/>
    </row>
    <row r="36" ht="15.75" customHeight="1">
      <c r="A36" s="4"/>
      <c r="B36" s="3"/>
      <c r="C36" s="3"/>
      <c r="D36" s="4"/>
      <c r="E36" s="4"/>
      <c r="F36" s="4"/>
      <c r="G36" s="4"/>
      <c r="H36" s="3"/>
      <c r="I36" s="3"/>
      <c r="J36" s="4"/>
      <c r="K36" s="4"/>
      <c r="L36" s="3"/>
      <c r="M36" s="4"/>
      <c r="N36" s="3"/>
      <c r="O36" s="4"/>
      <c r="P36" s="4"/>
      <c r="Q36" s="4"/>
    </row>
    <row r="37" ht="15.75" customHeight="1">
      <c r="A37" s="4"/>
      <c r="B37" s="3"/>
      <c r="C37" s="3"/>
      <c r="D37" s="4"/>
      <c r="E37" s="4"/>
      <c r="F37" s="4"/>
      <c r="G37" s="4"/>
      <c r="H37" s="3"/>
      <c r="I37" s="3"/>
      <c r="J37" s="4"/>
      <c r="K37" s="4"/>
      <c r="L37" s="3"/>
      <c r="M37" s="4"/>
      <c r="N37" s="3"/>
      <c r="O37" s="4"/>
      <c r="P37" s="4"/>
      <c r="Q37" s="4"/>
    </row>
    <row r="38" ht="15.75" customHeight="1">
      <c r="A38" s="4"/>
      <c r="B38" s="3"/>
      <c r="C38" s="3"/>
      <c r="D38" s="4"/>
      <c r="E38" s="4"/>
      <c r="F38" s="4"/>
      <c r="G38" s="4"/>
      <c r="H38" s="3"/>
      <c r="I38" s="3"/>
      <c r="J38" s="4"/>
      <c r="K38" s="4"/>
      <c r="L38" s="3"/>
      <c r="M38" s="4"/>
      <c r="N38" s="3"/>
      <c r="O38" s="4"/>
      <c r="P38" s="4"/>
      <c r="Q38" s="4"/>
    </row>
    <row r="39" ht="15.75" customHeight="1">
      <c r="A39" s="4"/>
      <c r="B39" s="3"/>
      <c r="C39" s="3"/>
      <c r="D39" s="4"/>
      <c r="E39" s="4"/>
      <c r="F39" s="4"/>
      <c r="G39" s="4"/>
      <c r="H39" s="3"/>
      <c r="I39" s="3"/>
      <c r="J39" s="4"/>
      <c r="K39" s="4"/>
      <c r="L39" s="3"/>
      <c r="M39" s="4"/>
      <c r="N39" s="3"/>
      <c r="O39" s="4"/>
      <c r="P39" s="4"/>
      <c r="Q39" s="4"/>
    </row>
    <row r="40" ht="15.75" customHeight="1">
      <c r="A40" s="4"/>
      <c r="B40" s="3"/>
      <c r="C40" s="3"/>
      <c r="D40" s="4"/>
      <c r="E40" s="4"/>
      <c r="F40" s="4"/>
      <c r="G40" s="4"/>
      <c r="H40" s="3"/>
      <c r="I40" s="3"/>
      <c r="J40" s="4"/>
      <c r="K40" s="4"/>
      <c r="L40" s="3"/>
      <c r="M40" s="4"/>
      <c r="N40" s="3"/>
      <c r="O40" s="4"/>
      <c r="P40" s="4"/>
      <c r="Q40" s="4"/>
    </row>
    <row r="41" ht="15.75" customHeight="1">
      <c r="A41" s="4"/>
      <c r="B41" s="3"/>
      <c r="C41" s="3"/>
      <c r="D41" s="4"/>
      <c r="E41" s="4"/>
      <c r="F41" s="4"/>
      <c r="G41" s="4"/>
      <c r="H41" s="3"/>
      <c r="I41" s="3"/>
      <c r="J41" s="4"/>
      <c r="K41" s="4"/>
      <c r="L41" s="3"/>
      <c r="M41" s="4"/>
      <c r="N41" s="3"/>
      <c r="O41" s="4"/>
      <c r="P41" s="4"/>
      <c r="Q41" s="4"/>
    </row>
    <row r="42" ht="15.75" customHeight="1">
      <c r="A42" s="4"/>
      <c r="B42" s="3"/>
      <c r="C42" s="3"/>
      <c r="D42" s="4"/>
      <c r="E42" s="4"/>
      <c r="F42" s="4"/>
      <c r="G42" s="4"/>
      <c r="H42" s="3"/>
      <c r="I42" s="3"/>
      <c r="J42" s="4"/>
      <c r="K42" s="4"/>
      <c r="L42" s="3"/>
      <c r="M42" s="4"/>
      <c r="N42" s="3"/>
      <c r="O42" s="4"/>
      <c r="P42" s="4"/>
      <c r="Q42" s="4"/>
    </row>
    <row r="43" ht="15.75" customHeight="1">
      <c r="A43" s="4"/>
      <c r="B43" s="3"/>
      <c r="C43" s="3"/>
      <c r="D43" s="4"/>
      <c r="E43" s="4"/>
      <c r="F43" s="4"/>
      <c r="G43" s="4"/>
      <c r="H43" s="3"/>
      <c r="I43" s="3"/>
      <c r="J43" s="4"/>
      <c r="K43" s="4"/>
      <c r="L43" s="3"/>
      <c r="M43" s="4"/>
      <c r="N43" s="3"/>
      <c r="O43" s="4"/>
      <c r="P43" s="4"/>
      <c r="Q43" s="4"/>
    </row>
    <row r="44" ht="15.75" customHeight="1">
      <c r="A44" s="4"/>
      <c r="B44" s="3"/>
      <c r="C44" s="3"/>
      <c r="D44" s="4"/>
      <c r="E44" s="4"/>
      <c r="F44" s="4"/>
      <c r="G44" s="4"/>
      <c r="H44" s="3"/>
      <c r="I44" s="3"/>
      <c r="J44" s="4"/>
      <c r="K44" s="4"/>
      <c r="L44" s="3"/>
      <c r="M44" s="4"/>
      <c r="N44" s="3"/>
      <c r="O44" s="4"/>
      <c r="P44" s="4"/>
      <c r="Q44" s="4"/>
    </row>
    <row r="45" ht="15.75" customHeight="1">
      <c r="A45" s="4"/>
      <c r="B45" s="3"/>
      <c r="C45" s="3"/>
      <c r="D45" s="4"/>
      <c r="E45" s="4"/>
      <c r="F45" s="4"/>
      <c r="G45" s="4"/>
      <c r="H45" s="3"/>
      <c r="I45" s="3"/>
      <c r="J45" s="4"/>
      <c r="K45" s="4"/>
      <c r="L45" s="3"/>
      <c r="M45" s="4"/>
      <c r="N45" s="3"/>
      <c r="O45" s="4"/>
      <c r="P45" s="4"/>
      <c r="Q45" s="4"/>
    </row>
    <row r="46" ht="15.75" customHeight="1">
      <c r="A46" s="4"/>
      <c r="B46" s="3"/>
      <c r="C46" s="3"/>
      <c r="D46" s="4"/>
      <c r="E46" s="4"/>
      <c r="F46" s="4"/>
      <c r="G46" s="4"/>
      <c r="H46" s="3"/>
      <c r="I46" s="3"/>
      <c r="J46" s="4"/>
      <c r="K46" s="4"/>
      <c r="L46" s="3"/>
      <c r="M46" s="4"/>
      <c r="N46" s="3"/>
      <c r="O46" s="4"/>
      <c r="P46" s="4"/>
      <c r="Q46" s="4"/>
    </row>
    <row r="47" ht="15.75" customHeight="1">
      <c r="A47" s="4"/>
      <c r="B47" s="3"/>
      <c r="C47" s="3"/>
      <c r="D47" s="4"/>
      <c r="E47" s="4"/>
      <c r="F47" s="4"/>
      <c r="G47" s="4"/>
      <c r="H47" s="3"/>
      <c r="I47" s="3"/>
      <c r="J47" s="4"/>
      <c r="K47" s="4"/>
      <c r="L47" s="3"/>
      <c r="M47" s="4"/>
      <c r="N47" s="3"/>
      <c r="O47" s="4"/>
      <c r="P47" s="4"/>
      <c r="Q47" s="4"/>
    </row>
    <row r="48" ht="15.75" customHeight="1">
      <c r="A48" s="4"/>
      <c r="B48" s="3"/>
      <c r="C48" s="3"/>
      <c r="D48" s="4"/>
      <c r="E48" s="4"/>
      <c r="F48" s="4"/>
      <c r="G48" s="4"/>
      <c r="H48" s="3"/>
      <c r="I48" s="3"/>
      <c r="J48" s="4"/>
      <c r="K48" s="4"/>
      <c r="L48" s="3"/>
      <c r="M48" s="4"/>
      <c r="N48" s="3"/>
      <c r="O48" s="4"/>
      <c r="P48" s="4"/>
      <c r="Q48" s="4"/>
    </row>
    <row r="49" ht="15.75" customHeight="1">
      <c r="A49" s="4"/>
      <c r="B49" s="3"/>
      <c r="C49" s="3"/>
      <c r="D49" s="4"/>
      <c r="E49" s="4"/>
      <c r="F49" s="4"/>
      <c r="G49" s="4"/>
      <c r="H49" s="3"/>
      <c r="I49" s="3"/>
      <c r="J49" s="4"/>
      <c r="K49" s="4"/>
      <c r="L49" s="3"/>
      <c r="M49" s="4"/>
      <c r="N49" s="3"/>
      <c r="O49" s="4"/>
      <c r="P49" s="4"/>
      <c r="Q49" s="4"/>
    </row>
    <row r="50" ht="15.75" customHeight="1">
      <c r="A50" s="4"/>
      <c r="B50" s="3"/>
      <c r="C50" s="3"/>
      <c r="D50" s="4"/>
      <c r="E50" s="4"/>
      <c r="F50" s="4"/>
      <c r="G50" s="4"/>
      <c r="H50" s="3"/>
      <c r="I50" s="3"/>
      <c r="J50" s="4"/>
      <c r="K50" s="4"/>
      <c r="L50" s="3"/>
      <c r="M50" s="4"/>
      <c r="N50" s="3"/>
      <c r="O50" s="4"/>
      <c r="P50" s="4"/>
      <c r="Q50" s="4"/>
    </row>
    <row r="51" ht="15.75" customHeight="1">
      <c r="A51" s="4"/>
      <c r="B51" s="3"/>
      <c r="C51" s="3"/>
      <c r="D51" s="4"/>
      <c r="E51" s="4"/>
      <c r="F51" s="4"/>
      <c r="G51" s="4"/>
      <c r="H51" s="3"/>
      <c r="I51" s="3"/>
      <c r="J51" s="4"/>
      <c r="K51" s="4"/>
      <c r="L51" s="3"/>
      <c r="M51" s="4"/>
      <c r="N51" s="3"/>
      <c r="O51" s="4"/>
      <c r="P51" s="4"/>
      <c r="Q51" s="4"/>
    </row>
    <row r="52" ht="15.75" customHeight="1">
      <c r="A52" s="4"/>
      <c r="B52" s="3"/>
      <c r="C52" s="3"/>
      <c r="D52" s="4"/>
      <c r="E52" s="4"/>
      <c r="F52" s="4"/>
      <c r="G52" s="4"/>
      <c r="H52" s="3"/>
      <c r="I52" s="3"/>
      <c r="J52" s="4"/>
      <c r="K52" s="4"/>
      <c r="L52" s="3"/>
      <c r="M52" s="4"/>
      <c r="N52" s="3"/>
      <c r="O52" s="4"/>
      <c r="P52" s="4"/>
      <c r="Q52" s="4"/>
    </row>
    <row r="53" ht="15.75" customHeight="1">
      <c r="A53" s="4"/>
      <c r="B53" s="3"/>
      <c r="C53" s="3"/>
      <c r="D53" s="4"/>
      <c r="E53" s="4"/>
      <c r="F53" s="4"/>
      <c r="G53" s="4"/>
      <c r="H53" s="3"/>
      <c r="I53" s="3"/>
      <c r="J53" s="4"/>
      <c r="K53" s="4"/>
      <c r="L53" s="3"/>
      <c r="M53" s="4"/>
      <c r="N53" s="3"/>
      <c r="O53" s="4"/>
      <c r="P53" s="4"/>
      <c r="Q53" s="4"/>
    </row>
    <row r="54" ht="15.75" customHeight="1">
      <c r="A54" s="4"/>
      <c r="B54" s="3"/>
      <c r="C54" s="3"/>
      <c r="D54" s="4"/>
      <c r="E54" s="4"/>
      <c r="F54" s="4"/>
      <c r="G54" s="4"/>
      <c r="H54" s="3"/>
      <c r="I54" s="3"/>
      <c r="J54" s="4"/>
      <c r="K54" s="4"/>
      <c r="L54" s="3"/>
      <c r="M54" s="4"/>
      <c r="N54" s="3"/>
      <c r="O54" s="4"/>
      <c r="P54" s="4"/>
      <c r="Q54" s="4"/>
    </row>
    <row r="55" ht="15.75" customHeight="1">
      <c r="A55" s="4"/>
      <c r="B55" s="3"/>
      <c r="C55" s="3"/>
      <c r="D55" s="4"/>
      <c r="E55" s="4"/>
      <c r="F55" s="4"/>
      <c r="G55" s="4"/>
      <c r="H55" s="3"/>
      <c r="I55" s="3"/>
      <c r="J55" s="4"/>
      <c r="K55" s="4"/>
      <c r="L55" s="3"/>
      <c r="M55" s="4"/>
      <c r="N55" s="3"/>
      <c r="O55" s="4"/>
      <c r="P55" s="4"/>
      <c r="Q55" s="4"/>
    </row>
    <row r="56" ht="15.75" customHeight="1">
      <c r="A56" s="4"/>
      <c r="B56" s="3"/>
      <c r="C56" s="3"/>
      <c r="D56" s="4"/>
      <c r="E56" s="4"/>
      <c r="F56" s="4"/>
      <c r="G56" s="4"/>
      <c r="H56" s="3"/>
      <c r="I56" s="3"/>
      <c r="J56" s="4"/>
      <c r="K56" s="4"/>
      <c r="L56" s="3"/>
      <c r="M56" s="4"/>
      <c r="N56" s="3"/>
      <c r="O56" s="4"/>
      <c r="P56" s="4"/>
      <c r="Q56" s="4"/>
    </row>
    <row r="57" ht="15.75" customHeight="1">
      <c r="A57" s="4"/>
      <c r="B57" s="3"/>
      <c r="C57" s="3"/>
      <c r="D57" s="4"/>
      <c r="E57" s="4"/>
      <c r="F57" s="4"/>
      <c r="G57" s="4"/>
      <c r="H57" s="3"/>
      <c r="I57" s="3"/>
      <c r="J57" s="4"/>
      <c r="K57" s="4"/>
      <c r="L57" s="3"/>
      <c r="M57" s="4"/>
      <c r="N57" s="3"/>
      <c r="O57" s="4"/>
      <c r="P57" s="4"/>
      <c r="Q57" s="4"/>
    </row>
    <row r="58" ht="15.75" customHeight="1">
      <c r="A58" s="4"/>
      <c r="B58" s="3"/>
      <c r="C58" s="3"/>
      <c r="D58" s="4"/>
      <c r="E58" s="4"/>
      <c r="F58" s="4"/>
      <c r="G58" s="4"/>
      <c r="H58" s="3"/>
      <c r="I58" s="3"/>
      <c r="J58" s="4"/>
      <c r="K58" s="4"/>
      <c r="L58" s="3"/>
      <c r="M58" s="4"/>
      <c r="N58" s="3"/>
      <c r="O58" s="4"/>
      <c r="P58" s="4"/>
      <c r="Q58" s="4"/>
    </row>
    <row r="59" ht="15.75" customHeight="1">
      <c r="A59" s="4"/>
      <c r="B59" s="3"/>
      <c r="C59" s="3"/>
      <c r="D59" s="4"/>
      <c r="E59" s="4"/>
      <c r="F59" s="4"/>
      <c r="G59" s="4"/>
      <c r="H59" s="3"/>
      <c r="I59" s="3"/>
      <c r="J59" s="4"/>
      <c r="K59" s="4"/>
      <c r="L59" s="3"/>
      <c r="M59" s="4"/>
      <c r="N59" s="3"/>
      <c r="O59" s="4"/>
      <c r="P59" s="4"/>
      <c r="Q59" s="4"/>
    </row>
    <row r="60" ht="15.75" customHeight="1">
      <c r="A60" s="4"/>
      <c r="B60" s="3"/>
      <c r="C60" s="3"/>
      <c r="D60" s="4"/>
      <c r="E60" s="4"/>
      <c r="F60" s="4"/>
      <c r="G60" s="4"/>
      <c r="H60" s="3"/>
      <c r="I60" s="3"/>
      <c r="J60" s="4"/>
      <c r="K60" s="4"/>
      <c r="L60" s="3"/>
      <c r="M60" s="4"/>
      <c r="N60" s="3"/>
      <c r="O60" s="4"/>
      <c r="P60" s="4"/>
      <c r="Q60" s="4"/>
    </row>
    <row r="61" ht="15.75" customHeight="1">
      <c r="A61" s="4"/>
      <c r="B61" s="3"/>
      <c r="C61" s="3"/>
      <c r="D61" s="4"/>
      <c r="E61" s="4"/>
      <c r="F61" s="4"/>
      <c r="G61" s="4"/>
      <c r="H61" s="3"/>
      <c r="I61" s="3"/>
      <c r="J61" s="4"/>
      <c r="K61" s="4"/>
      <c r="L61" s="3"/>
      <c r="M61" s="4"/>
      <c r="N61" s="3"/>
      <c r="O61" s="4"/>
      <c r="P61" s="4"/>
      <c r="Q61" s="4"/>
    </row>
    <row r="62" ht="15.75" customHeight="1">
      <c r="A62" s="4"/>
      <c r="B62" s="3"/>
      <c r="C62" s="3"/>
      <c r="D62" s="4"/>
      <c r="E62" s="4"/>
      <c r="F62" s="4"/>
      <c r="G62" s="4"/>
      <c r="H62" s="3"/>
      <c r="I62" s="3"/>
      <c r="J62" s="4"/>
      <c r="K62" s="4"/>
      <c r="L62" s="3"/>
      <c r="M62" s="4"/>
      <c r="N62" s="3"/>
      <c r="O62" s="4"/>
      <c r="P62" s="4"/>
      <c r="Q62" s="4"/>
    </row>
    <row r="63" ht="15.75" customHeight="1">
      <c r="A63" s="4"/>
      <c r="B63" s="3"/>
      <c r="C63" s="3"/>
      <c r="D63" s="4"/>
      <c r="E63" s="4"/>
      <c r="F63" s="4"/>
      <c r="G63" s="4"/>
      <c r="H63" s="3"/>
      <c r="I63" s="3"/>
      <c r="J63" s="4"/>
      <c r="K63" s="4"/>
      <c r="L63" s="3"/>
      <c r="M63" s="4"/>
      <c r="N63" s="3"/>
      <c r="O63" s="4"/>
      <c r="P63" s="4"/>
      <c r="Q63" s="4"/>
    </row>
    <row r="64" ht="15.75" customHeight="1">
      <c r="A64" s="4"/>
      <c r="B64" s="3"/>
      <c r="C64" s="3"/>
      <c r="D64" s="4"/>
      <c r="E64" s="4"/>
      <c r="F64" s="4"/>
      <c r="G64" s="4"/>
      <c r="H64" s="3"/>
      <c r="I64" s="3"/>
      <c r="J64" s="4"/>
      <c r="K64" s="4"/>
      <c r="L64" s="3"/>
      <c r="M64" s="4"/>
      <c r="N64" s="3"/>
      <c r="O64" s="4"/>
      <c r="P64" s="4"/>
      <c r="Q64" s="4"/>
    </row>
    <row r="65" ht="15.75" customHeight="1">
      <c r="A65" s="4"/>
      <c r="B65" s="3"/>
      <c r="C65" s="3"/>
      <c r="D65" s="4"/>
      <c r="E65" s="4"/>
      <c r="F65" s="4"/>
      <c r="G65" s="4"/>
      <c r="H65" s="3"/>
      <c r="I65" s="3"/>
      <c r="J65" s="4"/>
      <c r="K65" s="4"/>
      <c r="L65" s="3"/>
      <c r="M65" s="4"/>
      <c r="N65" s="3"/>
      <c r="O65" s="4"/>
      <c r="P65" s="4"/>
      <c r="Q65" s="4"/>
    </row>
    <row r="66" ht="15.75" customHeight="1">
      <c r="A66" s="4"/>
      <c r="B66" s="3"/>
      <c r="C66" s="3"/>
      <c r="D66" s="4"/>
      <c r="E66" s="4"/>
      <c r="F66" s="4"/>
      <c r="G66" s="4"/>
      <c r="H66" s="3"/>
      <c r="I66" s="3"/>
      <c r="J66" s="4"/>
      <c r="K66" s="4"/>
      <c r="L66" s="3"/>
      <c r="M66" s="4"/>
      <c r="N66" s="3"/>
      <c r="O66" s="4"/>
      <c r="P66" s="4"/>
      <c r="Q66" s="4"/>
    </row>
    <row r="67" ht="15.75" customHeight="1">
      <c r="A67" s="4"/>
      <c r="B67" s="3"/>
      <c r="C67" s="3"/>
      <c r="D67" s="4"/>
      <c r="E67" s="4"/>
      <c r="F67" s="4"/>
      <c r="G67" s="4"/>
      <c r="H67" s="3"/>
      <c r="I67" s="3"/>
      <c r="J67" s="4"/>
      <c r="K67" s="4"/>
      <c r="L67" s="3"/>
      <c r="M67" s="4"/>
      <c r="N67" s="3"/>
      <c r="O67" s="4"/>
      <c r="P67" s="4"/>
      <c r="Q67" s="4"/>
    </row>
    <row r="68" ht="15.75" customHeight="1">
      <c r="A68" s="4"/>
      <c r="B68" s="3"/>
      <c r="C68" s="3"/>
      <c r="D68" s="4"/>
      <c r="E68" s="4"/>
      <c r="F68" s="4"/>
      <c r="G68" s="4"/>
      <c r="H68" s="3"/>
      <c r="I68" s="3"/>
      <c r="J68" s="4"/>
      <c r="K68" s="4"/>
      <c r="L68" s="3"/>
      <c r="M68" s="4"/>
      <c r="N68" s="3"/>
      <c r="O68" s="4"/>
      <c r="P68" s="4"/>
      <c r="Q68" s="4"/>
    </row>
    <row r="69" ht="15.75" customHeight="1">
      <c r="A69" s="4"/>
      <c r="B69" s="3"/>
      <c r="C69" s="3"/>
      <c r="D69" s="4"/>
      <c r="E69" s="4"/>
      <c r="F69" s="4"/>
      <c r="G69" s="4"/>
      <c r="H69" s="3"/>
      <c r="I69" s="3"/>
      <c r="J69" s="4"/>
      <c r="K69" s="4"/>
      <c r="L69" s="3"/>
      <c r="M69" s="4"/>
      <c r="N69" s="3"/>
      <c r="O69" s="4"/>
      <c r="P69" s="4"/>
      <c r="Q69" s="4"/>
    </row>
    <row r="70" ht="15.75" customHeight="1">
      <c r="A70" s="4"/>
      <c r="B70" s="3"/>
      <c r="C70" s="3"/>
      <c r="D70" s="4"/>
      <c r="E70" s="4"/>
      <c r="F70" s="4"/>
      <c r="G70" s="4"/>
      <c r="H70" s="3"/>
      <c r="I70" s="3"/>
      <c r="J70" s="4"/>
      <c r="K70" s="4"/>
      <c r="L70" s="3"/>
      <c r="M70" s="4"/>
      <c r="N70" s="3"/>
      <c r="O70" s="4"/>
      <c r="P70" s="4"/>
      <c r="Q70" s="4"/>
    </row>
    <row r="71" ht="15.75" customHeight="1">
      <c r="A71" s="4"/>
      <c r="B71" s="3"/>
      <c r="C71" s="3"/>
      <c r="D71" s="4"/>
      <c r="E71" s="4"/>
      <c r="F71" s="4"/>
      <c r="G71" s="4"/>
      <c r="H71" s="3"/>
      <c r="I71" s="3"/>
      <c r="J71" s="4"/>
      <c r="K71" s="4"/>
      <c r="L71" s="3"/>
      <c r="M71" s="4"/>
      <c r="N71" s="3"/>
      <c r="O71" s="4"/>
      <c r="P71" s="4"/>
      <c r="Q71" s="4"/>
    </row>
    <row r="72" ht="15.75" customHeight="1">
      <c r="A72" s="4"/>
      <c r="B72" s="3"/>
      <c r="C72" s="3"/>
      <c r="D72" s="4"/>
      <c r="E72" s="4"/>
      <c r="F72" s="4"/>
      <c r="G72" s="4"/>
      <c r="H72" s="3"/>
      <c r="I72" s="3"/>
      <c r="J72" s="4"/>
      <c r="K72" s="4"/>
      <c r="L72" s="3"/>
      <c r="M72" s="4"/>
      <c r="N72" s="3"/>
      <c r="O72" s="4"/>
      <c r="P72" s="4"/>
      <c r="Q72" s="4"/>
    </row>
    <row r="73" ht="15.75" customHeight="1">
      <c r="A73" s="4"/>
      <c r="B73" s="3"/>
      <c r="C73" s="3"/>
      <c r="D73" s="4"/>
      <c r="E73" s="4"/>
      <c r="F73" s="4"/>
      <c r="G73" s="4"/>
      <c r="H73" s="3"/>
      <c r="I73" s="3"/>
      <c r="J73" s="4"/>
      <c r="K73" s="4"/>
      <c r="L73" s="3"/>
      <c r="M73" s="4"/>
      <c r="N73" s="3"/>
      <c r="O73" s="4"/>
      <c r="P73" s="4"/>
      <c r="Q73" s="4"/>
    </row>
    <row r="74" ht="15.75" customHeight="1">
      <c r="A74" s="4"/>
      <c r="B74" s="3"/>
      <c r="C74" s="3"/>
      <c r="D74" s="4"/>
      <c r="E74" s="4"/>
      <c r="F74" s="4"/>
      <c r="G74" s="4"/>
      <c r="H74" s="3"/>
      <c r="I74" s="3"/>
      <c r="J74" s="4"/>
      <c r="K74" s="4"/>
      <c r="L74" s="3"/>
      <c r="M74" s="4"/>
      <c r="N74" s="3"/>
      <c r="O74" s="4"/>
      <c r="P74" s="4"/>
      <c r="Q74" s="4"/>
    </row>
    <row r="75" ht="15.75" customHeight="1">
      <c r="A75" s="4"/>
      <c r="B75" s="3"/>
      <c r="C75" s="3"/>
      <c r="D75" s="4"/>
      <c r="E75" s="4"/>
      <c r="F75" s="4"/>
      <c r="G75" s="4"/>
      <c r="H75" s="3"/>
      <c r="I75" s="3"/>
      <c r="J75" s="4"/>
      <c r="K75" s="4"/>
      <c r="L75" s="3"/>
      <c r="M75" s="4"/>
      <c r="N75" s="3"/>
      <c r="O75" s="4"/>
      <c r="P75" s="4"/>
      <c r="Q75" s="4"/>
    </row>
    <row r="76" ht="15.75" customHeight="1">
      <c r="A76" s="4"/>
      <c r="B76" s="3"/>
      <c r="C76" s="3"/>
      <c r="D76" s="4"/>
      <c r="E76" s="4"/>
      <c r="F76" s="4"/>
      <c r="G76" s="4"/>
      <c r="H76" s="3"/>
      <c r="I76" s="3"/>
      <c r="J76" s="4"/>
      <c r="K76" s="4"/>
      <c r="L76" s="3"/>
      <c r="M76" s="4"/>
      <c r="N76" s="3"/>
      <c r="O76" s="4"/>
      <c r="P76" s="4"/>
      <c r="Q76" s="4"/>
    </row>
    <row r="77" ht="15.75" customHeight="1">
      <c r="A77" s="4"/>
      <c r="B77" s="3"/>
      <c r="C77" s="3"/>
      <c r="D77" s="4"/>
      <c r="E77" s="4"/>
      <c r="F77" s="4"/>
      <c r="G77" s="4"/>
      <c r="H77" s="3"/>
      <c r="I77" s="3"/>
      <c r="J77" s="4"/>
      <c r="K77" s="4"/>
      <c r="L77" s="3"/>
      <c r="M77" s="4"/>
      <c r="N77" s="3"/>
      <c r="O77" s="4"/>
      <c r="P77" s="4"/>
      <c r="Q77" s="4"/>
    </row>
    <row r="78" ht="15.75" customHeight="1">
      <c r="A78" s="4"/>
      <c r="B78" s="3"/>
      <c r="C78" s="3"/>
      <c r="D78" s="4"/>
      <c r="E78" s="4"/>
      <c r="F78" s="4"/>
      <c r="G78" s="4"/>
      <c r="H78" s="3"/>
      <c r="I78" s="3"/>
      <c r="J78" s="4"/>
      <c r="K78" s="4"/>
      <c r="L78" s="3"/>
      <c r="M78" s="4"/>
      <c r="N78" s="3"/>
      <c r="O78" s="4"/>
      <c r="P78" s="4"/>
      <c r="Q78" s="4"/>
    </row>
    <row r="79" ht="15.75" customHeight="1">
      <c r="A79" s="4"/>
      <c r="B79" s="3"/>
      <c r="C79" s="3"/>
      <c r="D79" s="4"/>
      <c r="E79" s="4"/>
      <c r="F79" s="4"/>
      <c r="G79" s="4"/>
      <c r="H79" s="3"/>
      <c r="I79" s="3"/>
      <c r="J79" s="4"/>
      <c r="K79" s="4"/>
      <c r="L79" s="3"/>
      <c r="M79" s="4"/>
      <c r="N79" s="3"/>
      <c r="O79" s="4"/>
      <c r="P79" s="4"/>
      <c r="Q79" s="4"/>
    </row>
    <row r="80" ht="15.75" customHeight="1">
      <c r="A80" s="4"/>
      <c r="B80" s="3"/>
      <c r="C80" s="3"/>
      <c r="D80" s="4"/>
      <c r="E80" s="4"/>
      <c r="F80" s="4"/>
      <c r="G80" s="4"/>
      <c r="H80" s="3"/>
      <c r="I80" s="3"/>
      <c r="J80" s="4"/>
      <c r="K80" s="4"/>
      <c r="L80" s="3"/>
      <c r="M80" s="4"/>
      <c r="N80" s="3"/>
      <c r="O80" s="4"/>
      <c r="P80" s="4"/>
      <c r="Q80" s="4"/>
    </row>
    <row r="81" ht="15.75" customHeight="1">
      <c r="A81" s="4"/>
      <c r="B81" s="3"/>
      <c r="C81" s="3"/>
      <c r="D81" s="4"/>
      <c r="E81" s="4"/>
      <c r="F81" s="4"/>
      <c r="G81" s="4"/>
      <c r="H81" s="3"/>
      <c r="I81" s="3"/>
      <c r="J81" s="4"/>
      <c r="K81" s="4"/>
      <c r="L81" s="3"/>
      <c r="M81" s="4"/>
      <c r="N81" s="3"/>
      <c r="O81" s="4"/>
      <c r="P81" s="4"/>
      <c r="Q81" s="4"/>
    </row>
    <row r="82" ht="15.75" customHeight="1">
      <c r="A82" s="4"/>
      <c r="B82" s="3"/>
      <c r="C82" s="3"/>
      <c r="D82" s="4"/>
      <c r="E82" s="4"/>
      <c r="F82" s="4"/>
      <c r="G82" s="4"/>
      <c r="H82" s="3"/>
      <c r="I82" s="3"/>
      <c r="J82" s="4"/>
      <c r="K82" s="4"/>
      <c r="L82" s="3"/>
      <c r="M82" s="4"/>
      <c r="N82" s="3"/>
      <c r="O82" s="4"/>
      <c r="P82" s="4"/>
      <c r="Q82" s="4"/>
    </row>
    <row r="83" ht="15.75" customHeight="1">
      <c r="A83" s="4"/>
      <c r="B83" s="3"/>
      <c r="C83" s="3"/>
      <c r="D83" s="4"/>
      <c r="E83" s="4"/>
      <c r="F83" s="4"/>
      <c r="G83" s="4"/>
      <c r="H83" s="3"/>
      <c r="I83" s="3"/>
      <c r="J83" s="4"/>
      <c r="K83" s="4"/>
      <c r="L83" s="3"/>
      <c r="M83" s="4"/>
      <c r="N83" s="3"/>
      <c r="O83" s="4"/>
      <c r="P83" s="4"/>
      <c r="Q83" s="4"/>
    </row>
    <row r="84" ht="15.75" customHeight="1">
      <c r="A84" s="4"/>
      <c r="B84" s="3"/>
      <c r="C84" s="3"/>
      <c r="D84" s="4"/>
      <c r="E84" s="4"/>
      <c r="F84" s="4"/>
      <c r="G84" s="4"/>
      <c r="H84" s="3"/>
      <c r="I84" s="3"/>
      <c r="J84" s="4"/>
      <c r="K84" s="4"/>
      <c r="L84" s="3"/>
      <c r="M84" s="4"/>
      <c r="N84" s="3"/>
      <c r="O84" s="4"/>
      <c r="P84" s="4"/>
      <c r="Q84" s="4"/>
    </row>
    <row r="85" ht="15.75" customHeight="1">
      <c r="A85" s="4"/>
      <c r="B85" s="3"/>
      <c r="C85" s="3"/>
      <c r="D85" s="4"/>
      <c r="E85" s="4"/>
      <c r="F85" s="4"/>
      <c r="G85" s="4"/>
      <c r="H85" s="3"/>
      <c r="I85" s="3"/>
      <c r="J85" s="4"/>
      <c r="K85" s="4"/>
      <c r="L85" s="3"/>
      <c r="M85" s="4"/>
      <c r="N85" s="3"/>
      <c r="O85" s="4"/>
      <c r="P85" s="4"/>
      <c r="Q85" s="4"/>
    </row>
    <row r="86" ht="15.75" customHeight="1">
      <c r="A86" s="4"/>
      <c r="B86" s="3"/>
      <c r="C86" s="3"/>
      <c r="D86" s="4"/>
      <c r="E86" s="4"/>
      <c r="F86" s="4"/>
      <c r="G86" s="4"/>
      <c r="H86" s="3"/>
      <c r="I86" s="3"/>
      <c r="J86" s="4"/>
      <c r="K86" s="4"/>
      <c r="L86" s="3"/>
      <c r="M86" s="4"/>
      <c r="N86" s="3"/>
      <c r="O86" s="4"/>
      <c r="P86" s="4"/>
      <c r="Q86" s="4"/>
    </row>
    <row r="87" ht="15.75" customHeight="1">
      <c r="A87" s="4"/>
      <c r="B87" s="3"/>
      <c r="C87" s="3"/>
      <c r="D87" s="4"/>
      <c r="E87" s="4"/>
      <c r="F87" s="4"/>
      <c r="G87" s="4"/>
      <c r="H87" s="3"/>
      <c r="I87" s="3"/>
      <c r="J87" s="4"/>
      <c r="K87" s="4"/>
      <c r="L87" s="3"/>
      <c r="M87" s="4"/>
      <c r="N87" s="3"/>
      <c r="O87" s="4"/>
      <c r="P87" s="4"/>
      <c r="Q87" s="4"/>
    </row>
    <row r="88" ht="15.75" customHeight="1">
      <c r="A88" s="4"/>
      <c r="B88" s="3"/>
      <c r="C88" s="3"/>
      <c r="D88" s="4"/>
      <c r="E88" s="4"/>
      <c r="F88" s="4"/>
      <c r="G88" s="4"/>
      <c r="H88" s="3"/>
      <c r="I88" s="3"/>
      <c r="J88" s="4"/>
      <c r="K88" s="4"/>
      <c r="L88" s="3"/>
      <c r="M88" s="4"/>
      <c r="N88" s="3"/>
      <c r="O88" s="4"/>
      <c r="P88" s="4"/>
      <c r="Q88" s="4"/>
    </row>
    <row r="89" ht="15.75" customHeight="1">
      <c r="A89" s="4"/>
      <c r="B89" s="3"/>
      <c r="C89" s="3"/>
      <c r="D89" s="4"/>
      <c r="E89" s="4"/>
      <c r="F89" s="4"/>
      <c r="G89" s="4"/>
      <c r="H89" s="3"/>
      <c r="I89" s="3"/>
      <c r="J89" s="4"/>
      <c r="K89" s="4"/>
      <c r="L89" s="3"/>
      <c r="M89" s="4"/>
      <c r="N89" s="3"/>
      <c r="O89" s="4"/>
      <c r="P89" s="4"/>
      <c r="Q89" s="4"/>
    </row>
    <row r="90" ht="15.75" customHeight="1">
      <c r="A90" s="4"/>
      <c r="B90" s="3"/>
      <c r="C90" s="3"/>
      <c r="D90" s="4"/>
      <c r="E90" s="4"/>
      <c r="F90" s="4"/>
      <c r="G90" s="4"/>
      <c r="H90" s="3"/>
      <c r="I90" s="3"/>
      <c r="J90" s="4"/>
      <c r="K90" s="4"/>
      <c r="L90" s="3"/>
      <c r="M90" s="4"/>
      <c r="N90" s="3"/>
      <c r="O90" s="4"/>
      <c r="P90" s="4"/>
      <c r="Q90" s="4"/>
    </row>
    <row r="91" ht="15.75" customHeight="1">
      <c r="A91" s="4"/>
      <c r="B91" s="3"/>
      <c r="C91" s="3"/>
      <c r="D91" s="4"/>
      <c r="E91" s="4"/>
      <c r="F91" s="4"/>
      <c r="G91" s="4"/>
      <c r="H91" s="3"/>
      <c r="I91" s="3"/>
      <c r="J91" s="4"/>
      <c r="K91" s="4"/>
      <c r="L91" s="3"/>
      <c r="M91" s="4"/>
      <c r="N91" s="3"/>
      <c r="O91" s="4"/>
      <c r="P91" s="4"/>
      <c r="Q91" s="4"/>
    </row>
    <row r="92" ht="15.75" customHeight="1">
      <c r="A92" s="4"/>
      <c r="B92" s="3"/>
      <c r="C92" s="3"/>
      <c r="D92" s="4"/>
      <c r="E92" s="4"/>
      <c r="F92" s="4"/>
      <c r="G92" s="4"/>
      <c r="H92" s="3"/>
      <c r="I92" s="3"/>
      <c r="J92" s="4"/>
      <c r="K92" s="4"/>
      <c r="L92" s="3"/>
      <c r="M92" s="4"/>
      <c r="N92" s="3"/>
      <c r="O92" s="4"/>
      <c r="P92" s="4"/>
      <c r="Q92" s="4"/>
    </row>
    <row r="93" ht="15.75" customHeight="1">
      <c r="A93" s="4"/>
      <c r="B93" s="3"/>
      <c r="C93" s="3"/>
      <c r="D93" s="4"/>
      <c r="E93" s="4"/>
      <c r="F93" s="4"/>
      <c r="G93" s="4"/>
      <c r="H93" s="3"/>
      <c r="I93" s="3"/>
      <c r="J93" s="4"/>
      <c r="K93" s="4"/>
      <c r="L93" s="3"/>
      <c r="M93" s="4"/>
      <c r="N93" s="3"/>
      <c r="O93" s="4"/>
      <c r="P93" s="4"/>
      <c r="Q93" s="4"/>
    </row>
    <row r="94" ht="15.75" customHeight="1">
      <c r="A94" s="4"/>
      <c r="B94" s="3"/>
      <c r="C94" s="3"/>
      <c r="D94" s="4"/>
      <c r="E94" s="4"/>
      <c r="F94" s="4"/>
      <c r="G94" s="4"/>
      <c r="H94" s="3"/>
      <c r="I94" s="3"/>
      <c r="J94" s="4"/>
      <c r="K94" s="4"/>
      <c r="L94" s="3"/>
      <c r="M94" s="4"/>
      <c r="N94" s="3"/>
      <c r="O94" s="4"/>
      <c r="P94" s="4"/>
      <c r="Q94" s="4"/>
    </row>
    <row r="95" ht="15.75" customHeight="1">
      <c r="A95" s="4"/>
      <c r="B95" s="3"/>
      <c r="C95" s="3"/>
      <c r="D95" s="4"/>
      <c r="E95" s="4"/>
      <c r="F95" s="4"/>
      <c r="G95" s="4"/>
      <c r="H95" s="3"/>
      <c r="I95" s="3"/>
      <c r="J95" s="4"/>
      <c r="K95" s="4"/>
      <c r="L95" s="3"/>
      <c r="M95" s="4"/>
      <c r="N95" s="3"/>
      <c r="O95" s="4"/>
      <c r="P95" s="4"/>
      <c r="Q95" s="4"/>
    </row>
    <row r="96" ht="15.75" customHeight="1">
      <c r="A96" s="4"/>
      <c r="B96" s="3"/>
      <c r="C96" s="3"/>
      <c r="D96" s="4"/>
      <c r="E96" s="4"/>
      <c r="F96" s="4"/>
      <c r="G96" s="4"/>
      <c r="H96" s="3"/>
      <c r="I96" s="3"/>
      <c r="J96" s="4"/>
      <c r="K96" s="4"/>
      <c r="L96" s="3"/>
      <c r="M96" s="4"/>
      <c r="N96" s="3"/>
      <c r="O96" s="4"/>
      <c r="P96" s="4"/>
      <c r="Q96" s="4"/>
    </row>
    <row r="97" ht="15.75" customHeight="1">
      <c r="A97" s="4"/>
      <c r="B97" s="3"/>
      <c r="C97" s="3"/>
      <c r="D97" s="4"/>
      <c r="E97" s="4"/>
      <c r="F97" s="4"/>
      <c r="G97" s="4"/>
      <c r="H97" s="3"/>
      <c r="I97" s="3"/>
      <c r="J97" s="4"/>
      <c r="K97" s="4"/>
      <c r="L97" s="3"/>
      <c r="M97" s="4"/>
      <c r="N97" s="3"/>
      <c r="O97" s="4"/>
      <c r="P97" s="4"/>
      <c r="Q97" s="4"/>
    </row>
    <row r="98" ht="15.75" customHeight="1">
      <c r="A98" s="4"/>
      <c r="B98" s="3"/>
      <c r="C98" s="3"/>
      <c r="D98" s="4"/>
      <c r="E98" s="4"/>
      <c r="F98" s="4"/>
      <c r="G98" s="4"/>
      <c r="H98" s="3"/>
      <c r="I98" s="3"/>
      <c r="J98" s="4"/>
      <c r="K98" s="4"/>
      <c r="L98" s="3"/>
      <c r="M98" s="4"/>
      <c r="N98" s="3"/>
      <c r="O98" s="4"/>
      <c r="P98" s="4"/>
      <c r="Q98" s="4"/>
    </row>
    <row r="99" ht="15.75" customHeight="1">
      <c r="A99" s="4"/>
      <c r="B99" s="3"/>
      <c r="C99" s="3"/>
      <c r="D99" s="4"/>
      <c r="E99" s="4"/>
      <c r="F99" s="4"/>
      <c r="G99" s="4"/>
      <c r="H99" s="3"/>
      <c r="I99" s="3"/>
      <c r="J99" s="4"/>
      <c r="K99" s="4"/>
      <c r="L99" s="3"/>
      <c r="M99" s="4"/>
      <c r="N99" s="3"/>
      <c r="O99" s="4"/>
      <c r="P99" s="4"/>
      <c r="Q99" s="4"/>
    </row>
    <row r="100" ht="15.75" customHeight="1">
      <c r="A100" s="4"/>
      <c r="B100" s="3"/>
      <c r="C100" s="3"/>
      <c r="D100" s="4"/>
      <c r="E100" s="4"/>
      <c r="F100" s="4"/>
      <c r="G100" s="4"/>
      <c r="H100" s="3"/>
      <c r="I100" s="3"/>
      <c r="J100" s="4"/>
      <c r="K100" s="4"/>
      <c r="L100" s="3"/>
      <c r="M100" s="4"/>
      <c r="N100" s="3"/>
      <c r="O100" s="4"/>
      <c r="P100" s="4"/>
      <c r="Q100" s="4"/>
    </row>
    <row r="101" ht="15.75" customHeight="1">
      <c r="A101" s="4"/>
      <c r="B101" s="3"/>
      <c r="C101" s="3"/>
      <c r="D101" s="4"/>
      <c r="E101" s="4"/>
      <c r="F101" s="4"/>
      <c r="G101" s="4"/>
      <c r="H101" s="3"/>
      <c r="I101" s="3"/>
      <c r="J101" s="4"/>
      <c r="K101" s="4"/>
      <c r="L101" s="3"/>
      <c r="M101" s="4"/>
      <c r="N101" s="3"/>
      <c r="O101" s="4"/>
      <c r="P101" s="4"/>
      <c r="Q101" s="4"/>
    </row>
    <row r="102" ht="15.75" customHeight="1">
      <c r="A102" s="4"/>
      <c r="B102" s="3"/>
      <c r="C102" s="3"/>
      <c r="D102" s="4"/>
      <c r="E102" s="4"/>
      <c r="F102" s="4"/>
      <c r="G102" s="4"/>
      <c r="H102" s="3"/>
      <c r="I102" s="3"/>
      <c r="J102" s="4"/>
      <c r="K102" s="4"/>
      <c r="L102" s="3"/>
      <c r="M102" s="4"/>
      <c r="N102" s="3"/>
      <c r="O102" s="4"/>
      <c r="P102" s="4"/>
      <c r="Q102" s="4"/>
    </row>
    <row r="103" ht="15.75" customHeight="1">
      <c r="A103" s="4"/>
      <c r="B103" s="3"/>
      <c r="C103" s="3"/>
      <c r="D103" s="4"/>
      <c r="E103" s="4"/>
      <c r="F103" s="4"/>
      <c r="G103" s="4"/>
      <c r="H103" s="3"/>
      <c r="I103" s="3"/>
      <c r="J103" s="4"/>
      <c r="K103" s="4"/>
      <c r="L103" s="3"/>
      <c r="M103" s="4"/>
      <c r="N103" s="3"/>
      <c r="O103" s="4"/>
      <c r="P103" s="4"/>
      <c r="Q103" s="4"/>
    </row>
    <row r="104" ht="15.75" customHeight="1">
      <c r="A104" s="4"/>
      <c r="B104" s="3"/>
      <c r="C104" s="3"/>
      <c r="D104" s="4"/>
      <c r="E104" s="4"/>
      <c r="F104" s="4"/>
      <c r="G104" s="4"/>
      <c r="H104" s="3"/>
      <c r="I104" s="3"/>
      <c r="J104" s="4"/>
      <c r="K104" s="4"/>
      <c r="L104" s="3"/>
      <c r="M104" s="4"/>
      <c r="N104" s="3"/>
      <c r="O104" s="4"/>
      <c r="P104" s="4"/>
      <c r="Q104" s="4"/>
    </row>
    <row r="105" ht="15.75" customHeight="1">
      <c r="A105" s="4"/>
      <c r="B105" s="3"/>
      <c r="C105" s="3"/>
      <c r="D105" s="4"/>
      <c r="E105" s="4"/>
      <c r="F105" s="4"/>
      <c r="G105" s="4"/>
      <c r="H105" s="3"/>
      <c r="I105" s="3"/>
      <c r="J105" s="4"/>
      <c r="K105" s="4"/>
      <c r="L105" s="3"/>
      <c r="M105" s="4"/>
      <c r="N105" s="3"/>
      <c r="O105" s="4"/>
      <c r="P105" s="4"/>
      <c r="Q105" s="4"/>
    </row>
    <row r="106" ht="15.75" customHeight="1">
      <c r="A106" s="4"/>
      <c r="B106" s="3"/>
      <c r="C106" s="3"/>
      <c r="D106" s="4"/>
      <c r="E106" s="4"/>
      <c r="F106" s="4"/>
      <c r="G106" s="4"/>
      <c r="H106" s="3"/>
      <c r="I106" s="3"/>
      <c r="J106" s="4"/>
      <c r="K106" s="4"/>
      <c r="L106" s="3"/>
      <c r="M106" s="4"/>
      <c r="N106" s="3"/>
      <c r="O106" s="4"/>
      <c r="P106" s="4"/>
      <c r="Q106" s="4"/>
    </row>
    <row r="107" ht="15.75" customHeight="1">
      <c r="A107" s="4"/>
      <c r="B107" s="3"/>
      <c r="C107" s="3"/>
      <c r="D107" s="4"/>
      <c r="E107" s="4"/>
      <c r="F107" s="4"/>
      <c r="G107" s="4"/>
      <c r="H107" s="3"/>
      <c r="I107" s="3"/>
      <c r="J107" s="4"/>
      <c r="K107" s="4"/>
      <c r="L107" s="3"/>
      <c r="M107" s="4"/>
      <c r="N107" s="3"/>
      <c r="O107" s="4"/>
      <c r="P107" s="4"/>
      <c r="Q107" s="4"/>
    </row>
    <row r="108" ht="15.75" customHeight="1">
      <c r="A108" s="4"/>
      <c r="B108" s="3"/>
      <c r="C108" s="3"/>
      <c r="D108" s="4"/>
      <c r="E108" s="4"/>
      <c r="F108" s="4"/>
      <c r="G108" s="4"/>
      <c r="H108" s="3"/>
      <c r="I108" s="3"/>
      <c r="J108" s="4"/>
      <c r="K108" s="4"/>
      <c r="L108" s="3"/>
      <c r="M108" s="4"/>
      <c r="N108" s="3"/>
      <c r="O108" s="4"/>
      <c r="P108" s="4"/>
      <c r="Q108" s="4"/>
    </row>
    <row r="109" ht="15.75" customHeight="1">
      <c r="A109" s="4"/>
      <c r="B109" s="3"/>
      <c r="C109" s="3"/>
      <c r="D109" s="4"/>
      <c r="E109" s="4"/>
      <c r="F109" s="4"/>
      <c r="G109" s="4"/>
      <c r="H109" s="3"/>
      <c r="I109" s="3"/>
      <c r="J109" s="4"/>
      <c r="K109" s="4"/>
      <c r="L109" s="3"/>
      <c r="M109" s="4"/>
      <c r="N109" s="3"/>
      <c r="O109" s="4"/>
      <c r="P109" s="4"/>
      <c r="Q109" s="4"/>
    </row>
    <row r="110" ht="15.75" customHeight="1">
      <c r="A110" s="4"/>
      <c r="B110" s="3"/>
      <c r="C110" s="3"/>
      <c r="D110" s="4"/>
      <c r="E110" s="4"/>
      <c r="F110" s="4"/>
      <c r="G110" s="4"/>
      <c r="H110" s="3"/>
      <c r="I110" s="3"/>
      <c r="J110" s="4"/>
      <c r="K110" s="4"/>
      <c r="L110" s="3"/>
      <c r="M110" s="4"/>
      <c r="N110" s="3"/>
      <c r="O110" s="4"/>
      <c r="P110" s="4"/>
      <c r="Q110" s="4"/>
    </row>
    <row r="111" ht="15.75" customHeight="1">
      <c r="A111" s="4"/>
      <c r="B111" s="3"/>
      <c r="C111" s="3"/>
      <c r="D111" s="4"/>
      <c r="E111" s="4"/>
      <c r="F111" s="4"/>
      <c r="G111" s="4"/>
      <c r="H111" s="3"/>
      <c r="I111" s="3"/>
      <c r="J111" s="4"/>
      <c r="K111" s="4"/>
      <c r="L111" s="3"/>
      <c r="M111" s="4"/>
      <c r="N111" s="3"/>
      <c r="O111" s="4"/>
      <c r="P111" s="4"/>
      <c r="Q111" s="4"/>
    </row>
    <row r="112" ht="15.75" customHeight="1">
      <c r="A112" s="4"/>
      <c r="B112" s="3"/>
      <c r="C112" s="3"/>
      <c r="D112" s="4"/>
      <c r="E112" s="4"/>
      <c r="F112" s="4"/>
      <c r="G112" s="4"/>
      <c r="H112" s="3"/>
      <c r="I112" s="3"/>
      <c r="J112" s="4"/>
      <c r="K112" s="4"/>
      <c r="L112" s="3"/>
      <c r="M112" s="4"/>
      <c r="N112" s="3"/>
      <c r="O112" s="4"/>
      <c r="P112" s="4"/>
      <c r="Q112" s="4"/>
    </row>
    <row r="113" ht="15.75" customHeight="1">
      <c r="A113" s="4"/>
      <c r="B113" s="3"/>
      <c r="C113" s="3"/>
      <c r="D113" s="4"/>
      <c r="E113" s="4"/>
      <c r="F113" s="4"/>
      <c r="G113" s="4"/>
      <c r="H113" s="3"/>
      <c r="I113" s="3"/>
      <c r="J113" s="4"/>
      <c r="K113" s="4"/>
      <c r="L113" s="3"/>
      <c r="M113" s="4"/>
      <c r="N113" s="3"/>
      <c r="O113" s="4"/>
      <c r="P113" s="4"/>
      <c r="Q113" s="4"/>
    </row>
    <row r="114" ht="15.75" customHeight="1">
      <c r="A114" s="4"/>
      <c r="B114" s="3"/>
      <c r="C114" s="3"/>
      <c r="D114" s="4"/>
      <c r="E114" s="4"/>
      <c r="F114" s="4"/>
      <c r="G114" s="4"/>
      <c r="H114" s="3"/>
      <c r="I114" s="3"/>
      <c r="J114" s="4"/>
      <c r="K114" s="4"/>
      <c r="L114" s="3"/>
      <c r="M114" s="4"/>
      <c r="N114" s="3"/>
      <c r="O114" s="4"/>
      <c r="P114" s="4"/>
      <c r="Q114" s="4"/>
    </row>
    <row r="115" ht="15.75" customHeight="1">
      <c r="A115" s="4"/>
      <c r="B115" s="3"/>
      <c r="C115" s="3"/>
      <c r="D115" s="4"/>
      <c r="E115" s="4"/>
      <c r="F115" s="4"/>
      <c r="G115" s="4"/>
      <c r="H115" s="3"/>
      <c r="I115" s="3"/>
      <c r="J115" s="4"/>
      <c r="K115" s="4"/>
      <c r="L115" s="3"/>
      <c r="M115" s="4"/>
      <c r="N115" s="3"/>
      <c r="O115" s="4"/>
      <c r="P115" s="4"/>
      <c r="Q115" s="4"/>
    </row>
    <row r="116" ht="15.75" customHeight="1">
      <c r="A116" s="4"/>
      <c r="B116" s="3"/>
      <c r="C116" s="3"/>
      <c r="D116" s="4"/>
      <c r="E116" s="4"/>
      <c r="F116" s="4"/>
      <c r="G116" s="4"/>
      <c r="H116" s="3"/>
      <c r="I116" s="3"/>
      <c r="J116" s="4"/>
      <c r="K116" s="4"/>
      <c r="L116" s="3"/>
      <c r="M116" s="4"/>
      <c r="N116" s="3"/>
      <c r="O116" s="4"/>
      <c r="P116" s="4"/>
      <c r="Q116" s="4"/>
    </row>
    <row r="117" ht="15.75" customHeight="1">
      <c r="A117" s="4"/>
      <c r="B117" s="3"/>
      <c r="C117" s="3"/>
      <c r="D117" s="4"/>
      <c r="E117" s="4"/>
      <c r="F117" s="4"/>
      <c r="G117" s="4"/>
      <c r="H117" s="3"/>
      <c r="I117" s="3"/>
      <c r="J117" s="4"/>
      <c r="K117" s="4"/>
      <c r="L117" s="3"/>
      <c r="M117" s="4"/>
      <c r="N117" s="3"/>
      <c r="O117" s="4"/>
      <c r="P117" s="4"/>
      <c r="Q117" s="4"/>
    </row>
    <row r="118" ht="15.75" customHeight="1">
      <c r="A118" s="4"/>
      <c r="B118" s="3"/>
      <c r="C118" s="3"/>
      <c r="D118" s="4"/>
      <c r="E118" s="4"/>
      <c r="F118" s="4"/>
      <c r="G118" s="4"/>
      <c r="H118" s="3"/>
      <c r="I118" s="3"/>
      <c r="J118" s="4"/>
      <c r="K118" s="4"/>
      <c r="L118" s="3"/>
      <c r="M118" s="4"/>
      <c r="N118" s="3"/>
      <c r="O118" s="4"/>
      <c r="P118" s="4"/>
      <c r="Q118" s="4"/>
    </row>
    <row r="119" ht="15.75" customHeight="1">
      <c r="A119" s="4"/>
      <c r="B119" s="3"/>
      <c r="C119" s="3"/>
      <c r="D119" s="4"/>
      <c r="E119" s="4"/>
      <c r="F119" s="4"/>
      <c r="G119" s="4"/>
      <c r="H119" s="3"/>
      <c r="I119" s="3"/>
      <c r="J119" s="4"/>
      <c r="K119" s="4"/>
      <c r="L119" s="3"/>
      <c r="M119" s="4"/>
      <c r="N119" s="3"/>
      <c r="O119" s="4"/>
      <c r="P119" s="4"/>
      <c r="Q119" s="4"/>
    </row>
    <row r="120" ht="15.75" customHeight="1">
      <c r="A120" s="4"/>
      <c r="B120" s="3"/>
      <c r="C120" s="3"/>
      <c r="D120" s="4"/>
      <c r="E120" s="4"/>
      <c r="F120" s="4"/>
      <c r="G120" s="4"/>
      <c r="H120" s="3"/>
      <c r="I120" s="3"/>
      <c r="J120" s="4"/>
      <c r="K120" s="4"/>
      <c r="L120" s="3"/>
      <c r="M120" s="4"/>
      <c r="N120" s="3"/>
      <c r="O120" s="4"/>
      <c r="P120" s="4"/>
      <c r="Q120" s="4"/>
    </row>
    <row r="121" ht="15.75" customHeight="1">
      <c r="A121" s="4"/>
      <c r="B121" s="3"/>
      <c r="C121" s="3"/>
      <c r="D121" s="4"/>
      <c r="E121" s="4"/>
      <c r="F121" s="4"/>
      <c r="G121" s="4"/>
      <c r="H121" s="3"/>
      <c r="I121" s="3"/>
      <c r="J121" s="4"/>
      <c r="K121" s="4"/>
      <c r="L121" s="3"/>
      <c r="M121" s="4"/>
      <c r="N121" s="3"/>
      <c r="O121" s="4"/>
      <c r="P121" s="4"/>
      <c r="Q121" s="4"/>
    </row>
    <row r="122" ht="15.75" customHeight="1">
      <c r="A122" s="4"/>
      <c r="B122" s="3"/>
      <c r="C122" s="3"/>
      <c r="D122" s="4"/>
      <c r="E122" s="4"/>
      <c r="F122" s="4"/>
      <c r="G122" s="4"/>
      <c r="H122" s="3"/>
      <c r="I122" s="3"/>
      <c r="J122" s="4"/>
      <c r="K122" s="4"/>
      <c r="L122" s="3"/>
      <c r="M122" s="4"/>
      <c r="N122" s="3"/>
      <c r="O122" s="4"/>
      <c r="P122" s="4"/>
      <c r="Q122" s="4"/>
    </row>
    <row r="123" ht="15.75" customHeight="1">
      <c r="A123" s="4"/>
      <c r="B123" s="3"/>
      <c r="C123" s="3"/>
      <c r="D123" s="4"/>
      <c r="E123" s="4"/>
      <c r="F123" s="4"/>
      <c r="G123" s="4"/>
      <c r="H123" s="3"/>
      <c r="I123" s="3"/>
      <c r="J123" s="4"/>
      <c r="K123" s="4"/>
      <c r="L123" s="3"/>
      <c r="M123" s="4"/>
      <c r="N123" s="3"/>
      <c r="O123" s="4"/>
      <c r="P123" s="4"/>
      <c r="Q123" s="4"/>
    </row>
    <row r="124" ht="15.75" customHeight="1">
      <c r="A124" s="4"/>
      <c r="B124" s="3"/>
      <c r="C124" s="3"/>
      <c r="D124" s="4"/>
      <c r="E124" s="4"/>
      <c r="F124" s="4"/>
      <c r="G124" s="4"/>
      <c r="H124" s="3"/>
      <c r="I124" s="3"/>
      <c r="J124" s="4"/>
      <c r="K124" s="4"/>
      <c r="L124" s="3"/>
      <c r="M124" s="4"/>
      <c r="N124" s="3"/>
      <c r="O124" s="4"/>
      <c r="P124" s="4"/>
      <c r="Q124" s="4"/>
    </row>
    <row r="125" ht="15.75" customHeight="1">
      <c r="A125" s="4"/>
      <c r="B125" s="3"/>
      <c r="C125" s="3"/>
      <c r="D125" s="4"/>
      <c r="E125" s="4"/>
      <c r="F125" s="4"/>
      <c r="G125" s="4"/>
      <c r="H125" s="3"/>
      <c r="I125" s="3"/>
      <c r="J125" s="4"/>
      <c r="K125" s="4"/>
      <c r="L125" s="3"/>
      <c r="M125" s="4"/>
      <c r="N125" s="3"/>
      <c r="O125" s="4"/>
      <c r="P125" s="4"/>
      <c r="Q125" s="4"/>
    </row>
    <row r="126" ht="15.75" customHeight="1">
      <c r="A126" s="4"/>
      <c r="B126" s="3"/>
      <c r="C126" s="3"/>
      <c r="D126" s="4"/>
      <c r="E126" s="4"/>
      <c r="F126" s="4"/>
      <c r="G126" s="4"/>
      <c r="H126" s="3"/>
      <c r="I126" s="3"/>
      <c r="J126" s="4"/>
      <c r="K126" s="4"/>
      <c r="L126" s="3"/>
      <c r="M126" s="4"/>
      <c r="N126" s="3"/>
      <c r="O126" s="4"/>
      <c r="P126" s="4"/>
      <c r="Q126" s="4"/>
    </row>
    <row r="127" ht="15.75" customHeight="1">
      <c r="A127" s="4"/>
      <c r="B127" s="3"/>
      <c r="C127" s="3"/>
      <c r="D127" s="4"/>
      <c r="E127" s="4"/>
      <c r="F127" s="4"/>
      <c r="G127" s="4"/>
      <c r="H127" s="3"/>
      <c r="I127" s="3"/>
      <c r="J127" s="4"/>
      <c r="K127" s="4"/>
      <c r="L127" s="3"/>
      <c r="M127" s="4"/>
      <c r="N127" s="3"/>
      <c r="O127" s="4"/>
      <c r="P127" s="4"/>
      <c r="Q127" s="4"/>
    </row>
    <row r="128" ht="15.75" customHeight="1">
      <c r="A128" s="4"/>
      <c r="B128" s="3"/>
      <c r="C128" s="3"/>
      <c r="D128" s="4"/>
      <c r="E128" s="4"/>
      <c r="F128" s="4"/>
      <c r="G128" s="4"/>
      <c r="H128" s="3"/>
      <c r="I128" s="3"/>
      <c r="J128" s="4"/>
      <c r="K128" s="4"/>
      <c r="L128" s="3"/>
      <c r="M128" s="4"/>
      <c r="N128" s="3"/>
      <c r="O128" s="4"/>
      <c r="P128" s="4"/>
      <c r="Q128" s="4"/>
    </row>
    <row r="129" ht="15.75" customHeight="1">
      <c r="A129" s="4"/>
      <c r="B129" s="3"/>
      <c r="C129" s="3"/>
      <c r="D129" s="4"/>
      <c r="E129" s="4"/>
      <c r="F129" s="4"/>
      <c r="G129" s="4"/>
      <c r="H129" s="3"/>
      <c r="I129" s="3"/>
      <c r="J129" s="4"/>
      <c r="K129" s="4"/>
      <c r="L129" s="3"/>
      <c r="M129" s="4"/>
      <c r="N129" s="3"/>
      <c r="O129" s="4"/>
      <c r="P129" s="4"/>
      <c r="Q129" s="4"/>
    </row>
    <row r="130" ht="15.75" customHeight="1">
      <c r="A130" s="4"/>
      <c r="B130" s="3"/>
      <c r="C130" s="3"/>
      <c r="D130" s="4"/>
      <c r="E130" s="4"/>
      <c r="F130" s="4"/>
      <c r="G130" s="4"/>
      <c r="H130" s="3"/>
      <c r="I130" s="3"/>
      <c r="J130" s="4"/>
      <c r="K130" s="4"/>
      <c r="L130" s="3"/>
      <c r="M130" s="4"/>
      <c r="N130" s="3"/>
      <c r="O130" s="4"/>
      <c r="P130" s="4"/>
      <c r="Q130" s="4"/>
    </row>
    <row r="131" ht="15.75" customHeight="1">
      <c r="A131" s="4"/>
      <c r="B131" s="3"/>
      <c r="C131" s="3"/>
      <c r="D131" s="4"/>
      <c r="E131" s="4"/>
      <c r="F131" s="4"/>
      <c r="G131" s="4"/>
      <c r="H131" s="3"/>
      <c r="I131" s="3"/>
      <c r="J131" s="4"/>
      <c r="K131" s="4"/>
      <c r="L131" s="3"/>
      <c r="M131" s="4"/>
      <c r="N131" s="3"/>
      <c r="O131" s="4"/>
      <c r="P131" s="4"/>
      <c r="Q131" s="4"/>
    </row>
    <row r="132" ht="15.75" customHeight="1">
      <c r="A132" s="4"/>
      <c r="B132" s="3"/>
      <c r="C132" s="3"/>
      <c r="D132" s="4"/>
      <c r="E132" s="4"/>
      <c r="F132" s="4"/>
      <c r="G132" s="4"/>
      <c r="H132" s="3"/>
      <c r="I132" s="3"/>
      <c r="J132" s="4"/>
      <c r="K132" s="4"/>
      <c r="L132" s="3"/>
      <c r="M132" s="4"/>
      <c r="N132" s="3"/>
      <c r="O132" s="4"/>
      <c r="P132" s="4"/>
      <c r="Q132" s="4"/>
    </row>
    <row r="133" ht="15.75" customHeight="1">
      <c r="A133" s="4"/>
      <c r="B133" s="3"/>
      <c r="C133" s="3"/>
      <c r="D133" s="4"/>
      <c r="E133" s="4"/>
      <c r="F133" s="4"/>
      <c r="G133" s="4"/>
      <c r="H133" s="3"/>
      <c r="I133" s="3"/>
      <c r="J133" s="4"/>
      <c r="K133" s="4"/>
      <c r="L133" s="3"/>
      <c r="M133" s="4"/>
      <c r="N133" s="3"/>
      <c r="O133" s="4"/>
      <c r="P133" s="4"/>
      <c r="Q133" s="4"/>
    </row>
    <row r="134" ht="15.75" customHeight="1">
      <c r="A134" s="4"/>
      <c r="B134" s="3"/>
      <c r="C134" s="3"/>
      <c r="D134" s="4"/>
      <c r="E134" s="4"/>
      <c r="F134" s="4"/>
      <c r="G134" s="4"/>
      <c r="H134" s="3"/>
      <c r="I134" s="3"/>
      <c r="J134" s="4"/>
      <c r="K134" s="4"/>
      <c r="L134" s="3"/>
      <c r="M134" s="4"/>
      <c r="N134" s="3"/>
      <c r="O134" s="4"/>
      <c r="P134" s="4"/>
      <c r="Q134" s="4"/>
    </row>
    <row r="135" ht="15.75" customHeight="1">
      <c r="A135" s="4"/>
      <c r="B135" s="3"/>
      <c r="C135" s="3"/>
      <c r="D135" s="4"/>
      <c r="E135" s="4"/>
      <c r="F135" s="4"/>
      <c r="G135" s="4"/>
      <c r="H135" s="3"/>
      <c r="I135" s="3"/>
      <c r="J135" s="4"/>
      <c r="K135" s="4"/>
      <c r="L135" s="3"/>
      <c r="M135" s="4"/>
      <c r="N135" s="3"/>
      <c r="O135" s="4"/>
      <c r="P135" s="4"/>
      <c r="Q135" s="4"/>
    </row>
    <row r="136" ht="15.75" customHeight="1">
      <c r="A136" s="4"/>
      <c r="B136" s="3"/>
      <c r="C136" s="3"/>
      <c r="D136" s="4"/>
      <c r="E136" s="4"/>
      <c r="F136" s="4"/>
      <c r="G136" s="4"/>
      <c r="H136" s="3"/>
      <c r="I136" s="3"/>
      <c r="J136" s="4"/>
      <c r="K136" s="4"/>
      <c r="L136" s="3"/>
      <c r="M136" s="4"/>
      <c r="N136" s="3"/>
      <c r="O136" s="4"/>
      <c r="P136" s="4"/>
      <c r="Q136" s="4"/>
    </row>
    <row r="137" ht="15.75" customHeight="1">
      <c r="A137" s="4"/>
      <c r="B137" s="3"/>
      <c r="C137" s="3"/>
      <c r="D137" s="4"/>
      <c r="E137" s="4"/>
      <c r="F137" s="4"/>
      <c r="G137" s="4"/>
      <c r="H137" s="3"/>
      <c r="I137" s="3"/>
      <c r="J137" s="4"/>
      <c r="K137" s="4"/>
      <c r="L137" s="3"/>
      <c r="M137" s="4"/>
      <c r="N137" s="3"/>
      <c r="O137" s="4"/>
      <c r="P137" s="4"/>
      <c r="Q137" s="4"/>
    </row>
    <row r="138" ht="15.75" customHeight="1">
      <c r="A138" s="4"/>
      <c r="B138" s="3"/>
      <c r="C138" s="3"/>
      <c r="D138" s="4"/>
      <c r="E138" s="4"/>
      <c r="F138" s="4"/>
      <c r="G138" s="4"/>
      <c r="H138" s="3"/>
      <c r="I138" s="3"/>
      <c r="J138" s="4"/>
      <c r="K138" s="4"/>
      <c r="L138" s="3"/>
      <c r="M138" s="4"/>
      <c r="N138" s="3"/>
      <c r="O138" s="4"/>
      <c r="P138" s="4"/>
      <c r="Q138" s="4"/>
    </row>
    <row r="139" ht="15.75" customHeight="1">
      <c r="A139" s="4"/>
      <c r="B139" s="3"/>
      <c r="C139" s="3"/>
      <c r="D139" s="4"/>
      <c r="E139" s="4"/>
      <c r="F139" s="4"/>
      <c r="G139" s="4"/>
      <c r="H139" s="3"/>
      <c r="I139" s="3"/>
      <c r="J139" s="4"/>
      <c r="K139" s="4"/>
      <c r="L139" s="3"/>
      <c r="M139" s="4"/>
      <c r="N139" s="3"/>
      <c r="O139" s="4"/>
      <c r="P139" s="4"/>
      <c r="Q139" s="4"/>
    </row>
    <row r="140" ht="15.75" customHeight="1">
      <c r="A140" s="4"/>
      <c r="B140" s="3"/>
      <c r="C140" s="3"/>
      <c r="D140" s="4"/>
      <c r="E140" s="4"/>
      <c r="F140" s="4"/>
      <c r="G140" s="4"/>
      <c r="H140" s="3"/>
      <c r="I140" s="3"/>
      <c r="J140" s="4"/>
      <c r="K140" s="4"/>
      <c r="L140" s="3"/>
      <c r="M140" s="4"/>
      <c r="N140" s="3"/>
      <c r="O140" s="4"/>
      <c r="P140" s="4"/>
      <c r="Q140" s="4"/>
    </row>
    <row r="141" ht="15.75" customHeight="1">
      <c r="A141" s="4"/>
      <c r="B141" s="3"/>
      <c r="C141" s="3"/>
      <c r="D141" s="4"/>
      <c r="E141" s="4"/>
      <c r="F141" s="4"/>
      <c r="G141" s="4"/>
      <c r="H141" s="3"/>
      <c r="I141" s="3"/>
      <c r="J141" s="4"/>
      <c r="K141" s="4"/>
      <c r="L141" s="3"/>
      <c r="M141" s="4"/>
      <c r="N141" s="3"/>
      <c r="O141" s="4"/>
      <c r="P141" s="4"/>
      <c r="Q141" s="4"/>
    </row>
    <row r="142" ht="15.75" customHeight="1">
      <c r="A142" s="4"/>
      <c r="B142" s="3"/>
      <c r="C142" s="3"/>
      <c r="D142" s="4"/>
      <c r="E142" s="4"/>
      <c r="F142" s="4"/>
      <c r="G142" s="4"/>
      <c r="H142" s="3"/>
      <c r="I142" s="3"/>
      <c r="J142" s="4"/>
      <c r="K142" s="4"/>
      <c r="L142" s="3"/>
      <c r="M142" s="4"/>
      <c r="N142" s="3"/>
      <c r="O142" s="4"/>
      <c r="P142" s="4"/>
      <c r="Q142" s="4"/>
    </row>
    <row r="143" ht="15.75" customHeight="1">
      <c r="A143" s="4"/>
      <c r="B143" s="3"/>
      <c r="C143" s="3"/>
      <c r="D143" s="4"/>
      <c r="E143" s="4"/>
      <c r="F143" s="4"/>
      <c r="G143" s="4"/>
      <c r="H143" s="3"/>
      <c r="I143" s="3"/>
      <c r="J143" s="4"/>
      <c r="K143" s="4"/>
      <c r="L143" s="3"/>
      <c r="M143" s="4"/>
      <c r="N143" s="3"/>
      <c r="O143" s="4"/>
      <c r="P143" s="4"/>
      <c r="Q143" s="4"/>
    </row>
    <row r="144" ht="15.75" customHeight="1">
      <c r="A144" s="4"/>
      <c r="B144" s="3"/>
      <c r="C144" s="3"/>
      <c r="D144" s="4"/>
      <c r="E144" s="4"/>
      <c r="F144" s="4"/>
      <c r="G144" s="4"/>
      <c r="H144" s="3"/>
      <c r="I144" s="3"/>
      <c r="J144" s="4"/>
      <c r="K144" s="4"/>
      <c r="L144" s="3"/>
      <c r="M144" s="4"/>
      <c r="N144" s="3"/>
      <c r="O144" s="4"/>
      <c r="P144" s="4"/>
      <c r="Q144" s="4"/>
    </row>
    <row r="145" ht="15.75" customHeight="1">
      <c r="A145" s="4"/>
      <c r="B145" s="3"/>
      <c r="C145" s="3"/>
      <c r="D145" s="4"/>
      <c r="E145" s="4"/>
      <c r="F145" s="4"/>
      <c r="G145" s="4"/>
      <c r="H145" s="3"/>
      <c r="I145" s="3"/>
      <c r="J145" s="4"/>
      <c r="K145" s="4"/>
      <c r="L145" s="3"/>
      <c r="M145" s="4"/>
      <c r="N145" s="3"/>
      <c r="O145" s="4"/>
      <c r="P145" s="4"/>
      <c r="Q145" s="4"/>
    </row>
    <row r="146" ht="15.75" customHeight="1">
      <c r="A146" s="4"/>
      <c r="B146" s="3"/>
      <c r="C146" s="3"/>
      <c r="D146" s="4"/>
      <c r="E146" s="4"/>
      <c r="F146" s="4"/>
      <c r="G146" s="4"/>
      <c r="H146" s="3"/>
      <c r="I146" s="3"/>
      <c r="J146" s="4"/>
      <c r="K146" s="4"/>
      <c r="L146" s="3"/>
      <c r="M146" s="4"/>
      <c r="N146" s="3"/>
      <c r="O146" s="4"/>
      <c r="P146" s="4"/>
      <c r="Q146" s="4"/>
    </row>
    <row r="147" ht="15.75" customHeight="1">
      <c r="A147" s="4"/>
      <c r="B147" s="3"/>
      <c r="C147" s="3"/>
      <c r="D147" s="4"/>
      <c r="E147" s="4"/>
      <c r="F147" s="4"/>
      <c r="G147" s="4"/>
      <c r="H147" s="3"/>
      <c r="I147" s="3"/>
      <c r="J147" s="4"/>
      <c r="K147" s="4"/>
      <c r="L147" s="3"/>
      <c r="M147" s="4"/>
      <c r="N147" s="3"/>
      <c r="O147" s="4"/>
      <c r="P147" s="4"/>
      <c r="Q147" s="4"/>
    </row>
    <row r="148" ht="15.75" customHeight="1">
      <c r="A148" s="4"/>
      <c r="B148" s="3"/>
      <c r="C148" s="3"/>
      <c r="D148" s="4"/>
      <c r="E148" s="4"/>
      <c r="F148" s="4"/>
      <c r="G148" s="4"/>
      <c r="H148" s="3"/>
      <c r="I148" s="3"/>
      <c r="J148" s="4"/>
      <c r="K148" s="4"/>
      <c r="L148" s="3"/>
      <c r="M148" s="4"/>
      <c r="N148" s="3"/>
      <c r="O148" s="4"/>
      <c r="P148" s="4"/>
      <c r="Q148" s="4"/>
    </row>
    <row r="149" ht="15.75" customHeight="1">
      <c r="A149" s="4"/>
      <c r="B149" s="3"/>
      <c r="C149" s="3"/>
      <c r="D149" s="4"/>
      <c r="E149" s="4"/>
      <c r="F149" s="4"/>
      <c r="G149" s="4"/>
      <c r="H149" s="3"/>
      <c r="I149" s="3"/>
      <c r="J149" s="4"/>
      <c r="K149" s="4"/>
      <c r="L149" s="3"/>
      <c r="M149" s="4"/>
      <c r="N149" s="3"/>
      <c r="O149" s="4"/>
      <c r="P149" s="4"/>
      <c r="Q149" s="4"/>
    </row>
    <row r="150" ht="15.75" customHeight="1">
      <c r="A150" s="4"/>
      <c r="B150" s="3"/>
      <c r="C150" s="3"/>
      <c r="D150" s="4"/>
      <c r="E150" s="4"/>
      <c r="F150" s="4"/>
      <c r="G150" s="4"/>
      <c r="H150" s="3"/>
      <c r="I150" s="3"/>
      <c r="J150" s="4"/>
      <c r="K150" s="4"/>
      <c r="L150" s="3"/>
      <c r="M150" s="4"/>
      <c r="N150" s="3"/>
      <c r="O150" s="4"/>
      <c r="P150" s="4"/>
      <c r="Q150" s="4"/>
    </row>
    <row r="151" ht="15.75" customHeight="1">
      <c r="A151" s="4"/>
      <c r="B151" s="3"/>
      <c r="C151" s="3"/>
      <c r="D151" s="4"/>
      <c r="E151" s="4"/>
      <c r="F151" s="4"/>
      <c r="G151" s="4"/>
      <c r="H151" s="3"/>
      <c r="I151" s="3"/>
      <c r="J151" s="4"/>
      <c r="K151" s="4"/>
      <c r="L151" s="3"/>
      <c r="M151" s="4"/>
      <c r="N151" s="3"/>
      <c r="O151" s="4"/>
      <c r="P151" s="4"/>
      <c r="Q151" s="4"/>
    </row>
    <row r="152" ht="15.75" customHeight="1">
      <c r="A152" s="4"/>
      <c r="B152" s="3"/>
      <c r="C152" s="3"/>
      <c r="D152" s="4"/>
      <c r="E152" s="4"/>
      <c r="F152" s="4"/>
      <c r="G152" s="4"/>
      <c r="H152" s="3"/>
      <c r="I152" s="3"/>
      <c r="J152" s="4"/>
      <c r="K152" s="4"/>
      <c r="L152" s="3"/>
      <c r="M152" s="4"/>
      <c r="N152" s="3"/>
      <c r="O152" s="4"/>
      <c r="P152" s="4"/>
      <c r="Q152" s="4"/>
    </row>
    <row r="153" ht="15.75" customHeight="1">
      <c r="A153" s="4"/>
      <c r="B153" s="3"/>
      <c r="C153" s="3"/>
      <c r="D153" s="4"/>
      <c r="E153" s="4"/>
      <c r="F153" s="4"/>
      <c r="G153" s="4"/>
      <c r="H153" s="3"/>
      <c r="I153" s="3"/>
      <c r="J153" s="4"/>
      <c r="K153" s="4"/>
      <c r="L153" s="3"/>
      <c r="M153" s="4"/>
      <c r="N153" s="3"/>
      <c r="O153" s="4"/>
      <c r="P153" s="4"/>
      <c r="Q153" s="4"/>
    </row>
    <row r="154" ht="15.75" customHeight="1">
      <c r="A154" s="4"/>
      <c r="B154" s="3"/>
      <c r="C154" s="3"/>
      <c r="D154" s="4"/>
      <c r="E154" s="4"/>
      <c r="F154" s="4"/>
      <c r="G154" s="4"/>
      <c r="H154" s="3"/>
      <c r="I154" s="3"/>
      <c r="J154" s="4"/>
      <c r="K154" s="4"/>
      <c r="L154" s="3"/>
      <c r="M154" s="4"/>
      <c r="N154" s="3"/>
      <c r="O154" s="4"/>
      <c r="P154" s="4"/>
      <c r="Q154" s="4"/>
    </row>
    <row r="155" ht="15.75" customHeight="1">
      <c r="A155" s="4"/>
      <c r="B155" s="3"/>
      <c r="C155" s="3"/>
      <c r="D155" s="4"/>
      <c r="E155" s="4"/>
      <c r="F155" s="4"/>
      <c r="G155" s="4"/>
      <c r="H155" s="3"/>
      <c r="I155" s="3"/>
      <c r="J155" s="4"/>
      <c r="K155" s="4"/>
      <c r="L155" s="3"/>
      <c r="M155" s="4"/>
      <c r="N155" s="3"/>
      <c r="O155" s="4"/>
      <c r="P155" s="4"/>
      <c r="Q155" s="4"/>
    </row>
    <row r="156" ht="15.75" customHeight="1">
      <c r="A156" s="4"/>
      <c r="B156" s="3"/>
      <c r="C156" s="3"/>
      <c r="D156" s="4"/>
      <c r="E156" s="4"/>
      <c r="F156" s="4"/>
      <c r="G156" s="4"/>
      <c r="H156" s="3"/>
      <c r="I156" s="3"/>
      <c r="J156" s="4"/>
      <c r="K156" s="4"/>
      <c r="L156" s="3"/>
      <c r="M156" s="4"/>
      <c r="N156" s="3"/>
      <c r="O156" s="4"/>
      <c r="P156" s="4"/>
      <c r="Q156" s="4"/>
    </row>
    <row r="157" ht="15.75" customHeight="1">
      <c r="A157" s="4"/>
      <c r="B157" s="3"/>
      <c r="C157" s="3"/>
      <c r="D157" s="4"/>
      <c r="E157" s="4"/>
      <c r="F157" s="4"/>
      <c r="G157" s="4"/>
      <c r="H157" s="3"/>
      <c r="I157" s="3"/>
      <c r="J157" s="4"/>
      <c r="K157" s="4"/>
      <c r="L157" s="3"/>
      <c r="M157" s="4"/>
      <c r="N157" s="3"/>
      <c r="O157" s="4"/>
      <c r="P157" s="4"/>
      <c r="Q157" s="4"/>
    </row>
    <row r="158" ht="15.75" customHeight="1">
      <c r="A158" s="4"/>
      <c r="B158" s="3"/>
      <c r="C158" s="3"/>
      <c r="D158" s="4"/>
      <c r="E158" s="4"/>
      <c r="F158" s="4"/>
      <c r="G158" s="4"/>
      <c r="H158" s="3"/>
      <c r="I158" s="3"/>
      <c r="J158" s="4"/>
      <c r="K158" s="4"/>
      <c r="L158" s="3"/>
      <c r="M158" s="4"/>
      <c r="N158" s="3"/>
      <c r="O158" s="4"/>
      <c r="P158" s="4"/>
      <c r="Q158" s="4"/>
    </row>
    <row r="159" ht="15.75" customHeight="1">
      <c r="A159" s="4"/>
      <c r="B159" s="3"/>
      <c r="C159" s="3"/>
      <c r="D159" s="4"/>
      <c r="E159" s="4"/>
      <c r="F159" s="4"/>
      <c r="G159" s="4"/>
      <c r="H159" s="3"/>
      <c r="I159" s="3"/>
      <c r="J159" s="4"/>
      <c r="K159" s="4"/>
      <c r="L159" s="3"/>
      <c r="M159" s="4"/>
      <c r="N159" s="3"/>
      <c r="O159" s="4"/>
      <c r="P159" s="4"/>
      <c r="Q159" s="4"/>
    </row>
    <row r="160" ht="15.75" customHeight="1">
      <c r="A160" s="4"/>
      <c r="B160" s="3"/>
      <c r="C160" s="3"/>
      <c r="D160" s="4"/>
      <c r="E160" s="4"/>
      <c r="F160" s="4"/>
      <c r="G160" s="4"/>
      <c r="H160" s="3"/>
      <c r="I160" s="3"/>
      <c r="J160" s="4"/>
      <c r="K160" s="4"/>
      <c r="L160" s="3"/>
      <c r="M160" s="4"/>
      <c r="N160" s="3"/>
      <c r="O160" s="4"/>
      <c r="P160" s="4"/>
      <c r="Q160" s="4"/>
    </row>
    <row r="161" ht="15.75" customHeight="1">
      <c r="A161" s="4"/>
      <c r="B161" s="3"/>
      <c r="C161" s="3"/>
      <c r="D161" s="4"/>
      <c r="E161" s="4"/>
      <c r="F161" s="4"/>
      <c r="G161" s="4"/>
      <c r="H161" s="3"/>
      <c r="I161" s="3"/>
      <c r="J161" s="4"/>
      <c r="K161" s="4"/>
      <c r="L161" s="3"/>
      <c r="M161" s="4"/>
      <c r="N161" s="3"/>
      <c r="O161" s="4"/>
      <c r="P161" s="4"/>
      <c r="Q161" s="4"/>
    </row>
    <row r="162" ht="15.75" customHeight="1">
      <c r="A162" s="4"/>
      <c r="B162" s="3"/>
      <c r="C162" s="3"/>
      <c r="D162" s="4"/>
      <c r="E162" s="4"/>
      <c r="F162" s="4"/>
      <c r="G162" s="4"/>
      <c r="H162" s="3"/>
      <c r="I162" s="3"/>
      <c r="J162" s="4"/>
      <c r="K162" s="4"/>
      <c r="L162" s="3"/>
      <c r="M162" s="4"/>
      <c r="N162" s="3"/>
      <c r="O162" s="4"/>
      <c r="P162" s="4"/>
      <c r="Q162" s="4"/>
    </row>
    <row r="163" ht="15.75" customHeight="1">
      <c r="A163" s="4"/>
      <c r="B163" s="3"/>
      <c r="C163" s="3"/>
      <c r="D163" s="4"/>
      <c r="E163" s="4"/>
      <c r="F163" s="4"/>
      <c r="G163" s="4"/>
      <c r="H163" s="3"/>
      <c r="I163" s="3"/>
      <c r="J163" s="4"/>
      <c r="K163" s="4"/>
      <c r="L163" s="3"/>
      <c r="M163" s="4"/>
      <c r="N163" s="3"/>
      <c r="O163" s="4"/>
      <c r="P163" s="4"/>
      <c r="Q163" s="4"/>
    </row>
    <row r="164" ht="15.75" customHeight="1">
      <c r="A164" s="4"/>
      <c r="B164" s="3"/>
      <c r="C164" s="3"/>
      <c r="D164" s="4"/>
      <c r="E164" s="4"/>
      <c r="F164" s="4"/>
      <c r="G164" s="4"/>
      <c r="H164" s="3"/>
      <c r="I164" s="3"/>
      <c r="J164" s="4"/>
      <c r="K164" s="4"/>
      <c r="L164" s="3"/>
      <c r="M164" s="4"/>
      <c r="N164" s="3"/>
      <c r="O164" s="4"/>
      <c r="P164" s="4"/>
      <c r="Q164" s="4"/>
    </row>
    <row r="165" ht="15.75" customHeight="1">
      <c r="A165" s="4"/>
      <c r="B165" s="3"/>
      <c r="C165" s="3"/>
      <c r="D165" s="4"/>
      <c r="E165" s="4"/>
      <c r="F165" s="4"/>
      <c r="G165" s="4"/>
      <c r="H165" s="3"/>
      <c r="I165" s="3"/>
      <c r="J165" s="4"/>
      <c r="K165" s="4"/>
      <c r="L165" s="3"/>
      <c r="M165" s="4"/>
      <c r="N165" s="3"/>
      <c r="O165" s="4"/>
      <c r="P165" s="4"/>
      <c r="Q165" s="4"/>
    </row>
    <row r="166" ht="15.75" customHeight="1">
      <c r="A166" s="4"/>
      <c r="B166" s="3"/>
      <c r="C166" s="3"/>
      <c r="D166" s="4"/>
      <c r="E166" s="4"/>
      <c r="F166" s="4"/>
      <c r="G166" s="4"/>
      <c r="H166" s="3"/>
      <c r="I166" s="3"/>
      <c r="J166" s="4"/>
      <c r="K166" s="4"/>
      <c r="L166" s="3"/>
      <c r="M166" s="4"/>
      <c r="N166" s="3"/>
      <c r="O166" s="4"/>
      <c r="P166" s="4"/>
      <c r="Q166" s="4"/>
    </row>
    <row r="167" ht="15.75" customHeight="1">
      <c r="A167" s="4"/>
      <c r="B167" s="3"/>
      <c r="C167" s="3"/>
      <c r="D167" s="4"/>
      <c r="E167" s="4"/>
      <c r="F167" s="4"/>
      <c r="G167" s="4"/>
      <c r="H167" s="3"/>
      <c r="I167" s="3"/>
      <c r="J167" s="4"/>
      <c r="K167" s="4"/>
      <c r="L167" s="3"/>
      <c r="M167" s="4"/>
      <c r="N167" s="3"/>
      <c r="O167" s="4"/>
      <c r="P167" s="4"/>
      <c r="Q167" s="4"/>
    </row>
    <row r="168" ht="15.75" customHeight="1">
      <c r="A168" s="4"/>
      <c r="B168" s="3"/>
      <c r="C168" s="3"/>
      <c r="D168" s="4"/>
      <c r="E168" s="4"/>
      <c r="F168" s="4"/>
      <c r="G168" s="4"/>
      <c r="H168" s="3"/>
      <c r="I168" s="3"/>
      <c r="J168" s="4"/>
      <c r="K168" s="4"/>
      <c r="L168" s="3"/>
      <c r="M168" s="4"/>
      <c r="N168" s="3"/>
      <c r="O168" s="4"/>
      <c r="P168" s="4"/>
      <c r="Q168" s="4"/>
    </row>
    <row r="169" ht="15.75" customHeight="1">
      <c r="A169" s="4"/>
      <c r="B169" s="3"/>
      <c r="C169" s="3"/>
      <c r="D169" s="4"/>
      <c r="E169" s="4"/>
      <c r="F169" s="4"/>
      <c r="G169" s="4"/>
      <c r="H169" s="3"/>
      <c r="I169" s="3"/>
      <c r="J169" s="4"/>
      <c r="K169" s="4"/>
      <c r="L169" s="3"/>
      <c r="M169" s="4"/>
      <c r="N169" s="3"/>
      <c r="O169" s="4"/>
      <c r="P169" s="4"/>
      <c r="Q169" s="4"/>
    </row>
    <row r="170" ht="15.75" customHeight="1">
      <c r="A170" s="4"/>
      <c r="B170" s="3"/>
      <c r="C170" s="3"/>
      <c r="D170" s="4"/>
      <c r="E170" s="4"/>
      <c r="F170" s="4"/>
      <c r="G170" s="4"/>
      <c r="H170" s="3"/>
      <c r="I170" s="3"/>
      <c r="J170" s="4"/>
      <c r="K170" s="4"/>
      <c r="L170" s="3"/>
      <c r="M170" s="4"/>
      <c r="N170" s="3"/>
      <c r="O170" s="4"/>
      <c r="P170" s="4"/>
      <c r="Q170" s="4"/>
    </row>
    <row r="171" ht="15.75" customHeight="1">
      <c r="A171" s="4"/>
      <c r="B171" s="3"/>
      <c r="C171" s="3"/>
      <c r="D171" s="4"/>
      <c r="E171" s="4"/>
      <c r="F171" s="4"/>
      <c r="G171" s="4"/>
      <c r="H171" s="3"/>
      <c r="I171" s="3"/>
      <c r="J171" s="4"/>
      <c r="K171" s="4"/>
      <c r="L171" s="3"/>
      <c r="M171" s="4"/>
      <c r="N171" s="3"/>
      <c r="O171" s="4"/>
      <c r="P171" s="4"/>
      <c r="Q171" s="4"/>
    </row>
    <row r="172" ht="15.75" customHeight="1">
      <c r="A172" s="4"/>
      <c r="B172" s="3"/>
      <c r="C172" s="3"/>
      <c r="D172" s="4"/>
      <c r="E172" s="4"/>
      <c r="F172" s="4"/>
      <c r="G172" s="4"/>
      <c r="H172" s="3"/>
      <c r="I172" s="3"/>
      <c r="J172" s="4"/>
      <c r="K172" s="4"/>
      <c r="L172" s="3"/>
      <c r="M172" s="4"/>
      <c r="N172" s="3"/>
      <c r="O172" s="4"/>
      <c r="P172" s="4"/>
      <c r="Q172" s="4"/>
    </row>
    <row r="173" ht="15.75" customHeight="1">
      <c r="A173" s="4"/>
      <c r="B173" s="3"/>
      <c r="C173" s="3"/>
      <c r="D173" s="4"/>
      <c r="E173" s="4"/>
      <c r="F173" s="4"/>
      <c r="G173" s="4"/>
      <c r="H173" s="3"/>
      <c r="I173" s="3"/>
      <c r="J173" s="4"/>
      <c r="K173" s="4"/>
      <c r="L173" s="3"/>
      <c r="M173" s="4"/>
      <c r="N173" s="3"/>
      <c r="O173" s="4"/>
      <c r="P173" s="4"/>
      <c r="Q173" s="4"/>
    </row>
    <row r="174" ht="15.75" customHeight="1">
      <c r="A174" s="4"/>
      <c r="B174" s="3"/>
      <c r="C174" s="3"/>
      <c r="D174" s="4"/>
      <c r="E174" s="4"/>
      <c r="F174" s="4"/>
      <c r="G174" s="4"/>
      <c r="H174" s="3"/>
      <c r="I174" s="3"/>
      <c r="J174" s="4"/>
      <c r="K174" s="4"/>
      <c r="L174" s="3"/>
      <c r="M174" s="4"/>
      <c r="N174" s="3"/>
      <c r="O174" s="4"/>
      <c r="P174" s="4"/>
      <c r="Q174" s="4"/>
    </row>
    <row r="175" ht="15.75" customHeight="1">
      <c r="A175" s="4"/>
      <c r="B175" s="3"/>
      <c r="C175" s="3"/>
      <c r="D175" s="4"/>
      <c r="E175" s="4"/>
      <c r="F175" s="4"/>
      <c r="G175" s="4"/>
      <c r="H175" s="3"/>
      <c r="I175" s="3"/>
      <c r="J175" s="4"/>
      <c r="K175" s="4"/>
      <c r="L175" s="3"/>
      <c r="M175" s="4"/>
      <c r="N175" s="3"/>
      <c r="O175" s="4"/>
      <c r="P175" s="4"/>
      <c r="Q175" s="4"/>
    </row>
    <row r="176" ht="15.75" customHeight="1">
      <c r="A176" s="4"/>
      <c r="B176" s="3"/>
      <c r="C176" s="3"/>
      <c r="D176" s="4"/>
      <c r="E176" s="4"/>
      <c r="F176" s="4"/>
      <c r="G176" s="4"/>
      <c r="H176" s="3"/>
      <c r="I176" s="3"/>
      <c r="J176" s="4"/>
      <c r="K176" s="4"/>
      <c r="L176" s="3"/>
      <c r="M176" s="4"/>
      <c r="N176" s="3"/>
      <c r="O176" s="4"/>
      <c r="P176" s="4"/>
      <c r="Q176" s="4"/>
    </row>
    <row r="177" ht="15.75" customHeight="1">
      <c r="A177" s="4"/>
      <c r="B177" s="3"/>
      <c r="C177" s="3"/>
      <c r="D177" s="4"/>
      <c r="E177" s="4"/>
      <c r="F177" s="4"/>
      <c r="G177" s="4"/>
      <c r="H177" s="3"/>
      <c r="I177" s="3"/>
      <c r="J177" s="4"/>
      <c r="K177" s="4"/>
      <c r="L177" s="3"/>
      <c r="M177" s="4"/>
      <c r="N177" s="3"/>
      <c r="O177" s="4"/>
      <c r="P177" s="4"/>
      <c r="Q177" s="4"/>
    </row>
    <row r="178" ht="15.75" customHeight="1">
      <c r="A178" s="4"/>
      <c r="B178" s="3"/>
      <c r="C178" s="3"/>
      <c r="D178" s="4"/>
      <c r="E178" s="4"/>
      <c r="F178" s="4"/>
      <c r="G178" s="4"/>
      <c r="H178" s="3"/>
      <c r="I178" s="3"/>
      <c r="J178" s="4"/>
      <c r="K178" s="4"/>
      <c r="L178" s="3"/>
      <c r="M178" s="4"/>
      <c r="N178" s="3"/>
      <c r="O178" s="4"/>
      <c r="P178" s="4"/>
      <c r="Q178" s="4"/>
    </row>
    <row r="179" ht="15.75" customHeight="1">
      <c r="A179" s="4"/>
      <c r="B179" s="3"/>
      <c r="C179" s="3"/>
      <c r="D179" s="4"/>
      <c r="E179" s="4"/>
      <c r="F179" s="4"/>
      <c r="G179" s="4"/>
      <c r="H179" s="3"/>
      <c r="I179" s="3"/>
      <c r="J179" s="4"/>
      <c r="K179" s="4"/>
      <c r="L179" s="3"/>
      <c r="M179" s="4"/>
      <c r="N179" s="3"/>
      <c r="O179" s="4"/>
      <c r="P179" s="4"/>
      <c r="Q179" s="4"/>
    </row>
    <row r="180" ht="15.75" customHeight="1">
      <c r="A180" s="4"/>
      <c r="B180" s="3"/>
      <c r="C180" s="3"/>
      <c r="D180" s="4"/>
      <c r="E180" s="4"/>
      <c r="F180" s="4"/>
      <c r="G180" s="4"/>
      <c r="H180" s="3"/>
      <c r="I180" s="3"/>
      <c r="J180" s="4"/>
      <c r="K180" s="4"/>
      <c r="L180" s="3"/>
      <c r="M180" s="4"/>
      <c r="N180" s="3"/>
      <c r="O180" s="4"/>
      <c r="P180" s="4"/>
      <c r="Q180" s="4"/>
    </row>
    <row r="181" ht="15.75" customHeight="1">
      <c r="A181" s="4"/>
      <c r="B181" s="3"/>
      <c r="C181" s="3"/>
      <c r="D181" s="4"/>
      <c r="E181" s="4"/>
      <c r="F181" s="4"/>
      <c r="G181" s="4"/>
      <c r="H181" s="3"/>
      <c r="I181" s="3"/>
      <c r="J181" s="4"/>
      <c r="K181" s="4"/>
      <c r="L181" s="3"/>
      <c r="M181" s="4"/>
      <c r="N181" s="3"/>
      <c r="O181" s="4"/>
      <c r="P181" s="4"/>
      <c r="Q181" s="4"/>
    </row>
    <row r="182" ht="15.75" customHeight="1">
      <c r="A182" s="4"/>
      <c r="B182" s="3"/>
      <c r="C182" s="3"/>
      <c r="D182" s="4"/>
      <c r="E182" s="4"/>
      <c r="F182" s="4"/>
      <c r="G182" s="4"/>
      <c r="H182" s="3"/>
      <c r="I182" s="3"/>
      <c r="J182" s="4"/>
      <c r="K182" s="4"/>
      <c r="L182" s="3"/>
      <c r="M182" s="4"/>
      <c r="N182" s="3"/>
      <c r="O182" s="4"/>
      <c r="P182" s="4"/>
      <c r="Q182" s="4"/>
    </row>
    <row r="183" ht="15.75" customHeight="1">
      <c r="A183" s="4"/>
      <c r="B183" s="3"/>
      <c r="C183" s="3"/>
      <c r="D183" s="4"/>
      <c r="E183" s="4"/>
      <c r="F183" s="4"/>
      <c r="G183" s="4"/>
      <c r="H183" s="3"/>
      <c r="I183" s="3"/>
      <c r="J183" s="4"/>
      <c r="K183" s="4"/>
      <c r="L183" s="3"/>
      <c r="M183" s="4"/>
      <c r="N183" s="3"/>
      <c r="O183" s="4"/>
      <c r="P183" s="4"/>
      <c r="Q183" s="4"/>
    </row>
    <row r="184" ht="15.75" customHeight="1">
      <c r="A184" s="4"/>
      <c r="B184" s="3"/>
      <c r="C184" s="3"/>
      <c r="D184" s="4"/>
      <c r="E184" s="4"/>
      <c r="F184" s="4"/>
      <c r="G184" s="4"/>
      <c r="H184" s="3"/>
      <c r="I184" s="3"/>
      <c r="J184" s="4"/>
      <c r="K184" s="4"/>
      <c r="L184" s="3"/>
      <c r="M184" s="4"/>
      <c r="N184" s="3"/>
      <c r="O184" s="4"/>
      <c r="P184" s="4"/>
      <c r="Q184" s="4"/>
    </row>
    <row r="185" ht="15.75" customHeight="1">
      <c r="A185" s="4"/>
      <c r="B185" s="3"/>
      <c r="C185" s="3"/>
      <c r="D185" s="4"/>
      <c r="E185" s="4"/>
      <c r="F185" s="4"/>
      <c r="G185" s="4"/>
      <c r="H185" s="3"/>
      <c r="I185" s="3"/>
      <c r="J185" s="4"/>
      <c r="K185" s="4"/>
      <c r="L185" s="3"/>
      <c r="M185" s="4"/>
      <c r="N185" s="3"/>
      <c r="O185" s="4"/>
      <c r="P185" s="4"/>
      <c r="Q185" s="4"/>
    </row>
    <row r="186" ht="15.75" customHeight="1">
      <c r="A186" s="4"/>
      <c r="B186" s="3"/>
      <c r="C186" s="3"/>
      <c r="D186" s="4"/>
      <c r="E186" s="4"/>
      <c r="F186" s="4"/>
      <c r="G186" s="4"/>
      <c r="H186" s="3"/>
      <c r="I186" s="3"/>
      <c r="J186" s="4"/>
      <c r="K186" s="4"/>
      <c r="L186" s="3"/>
      <c r="M186" s="4"/>
      <c r="N186" s="3"/>
      <c r="O186" s="4"/>
      <c r="P186" s="4"/>
      <c r="Q186" s="4"/>
    </row>
    <row r="187" ht="15.75" customHeight="1">
      <c r="A187" s="4"/>
      <c r="B187" s="3"/>
      <c r="C187" s="3"/>
      <c r="D187" s="4"/>
      <c r="E187" s="4"/>
      <c r="F187" s="4"/>
      <c r="G187" s="4"/>
      <c r="H187" s="3"/>
      <c r="I187" s="3"/>
      <c r="J187" s="4"/>
      <c r="K187" s="4"/>
      <c r="L187" s="3"/>
      <c r="M187" s="4"/>
      <c r="N187" s="3"/>
      <c r="O187" s="4"/>
      <c r="P187" s="4"/>
      <c r="Q187" s="4"/>
    </row>
    <row r="188" ht="15.75" customHeight="1">
      <c r="A188" s="4"/>
      <c r="B188" s="3"/>
      <c r="C188" s="3"/>
      <c r="D188" s="4"/>
      <c r="E188" s="4"/>
      <c r="F188" s="4"/>
      <c r="G188" s="4"/>
      <c r="H188" s="3"/>
      <c r="I188" s="3"/>
      <c r="J188" s="4"/>
      <c r="K188" s="4"/>
      <c r="L188" s="3"/>
      <c r="M188" s="4"/>
      <c r="N188" s="3"/>
      <c r="O188" s="4"/>
      <c r="P188" s="4"/>
      <c r="Q188" s="4"/>
    </row>
    <row r="189" ht="15.75" customHeight="1">
      <c r="A189" s="4"/>
      <c r="B189" s="3"/>
      <c r="C189" s="3"/>
      <c r="D189" s="4"/>
      <c r="E189" s="4"/>
      <c r="F189" s="4"/>
      <c r="G189" s="4"/>
      <c r="H189" s="3"/>
      <c r="I189" s="3"/>
      <c r="J189" s="4"/>
      <c r="K189" s="4"/>
      <c r="L189" s="3"/>
      <c r="M189" s="4"/>
      <c r="N189" s="3"/>
      <c r="O189" s="4"/>
      <c r="P189" s="4"/>
      <c r="Q189" s="4"/>
    </row>
    <row r="190" ht="15.75" customHeight="1">
      <c r="A190" s="4"/>
      <c r="B190" s="3"/>
      <c r="C190" s="3"/>
      <c r="D190" s="4"/>
      <c r="E190" s="4"/>
      <c r="F190" s="4"/>
      <c r="G190" s="4"/>
      <c r="H190" s="3"/>
      <c r="I190" s="3"/>
      <c r="J190" s="4"/>
      <c r="K190" s="4"/>
      <c r="L190" s="3"/>
      <c r="M190" s="4"/>
      <c r="N190" s="3"/>
      <c r="O190" s="4"/>
      <c r="P190" s="4"/>
      <c r="Q190" s="4"/>
    </row>
    <row r="191" ht="15.75" customHeight="1">
      <c r="A191" s="4"/>
      <c r="B191" s="3"/>
      <c r="C191" s="3"/>
      <c r="D191" s="4"/>
      <c r="E191" s="4"/>
      <c r="F191" s="4"/>
      <c r="G191" s="4"/>
      <c r="H191" s="3"/>
      <c r="I191" s="3"/>
      <c r="J191" s="4"/>
      <c r="K191" s="4"/>
      <c r="L191" s="3"/>
      <c r="M191" s="4"/>
      <c r="N191" s="3"/>
      <c r="O191" s="4"/>
      <c r="P191" s="4"/>
      <c r="Q191" s="4"/>
    </row>
    <row r="192" ht="15.75" customHeight="1">
      <c r="A192" s="4"/>
      <c r="B192" s="3"/>
      <c r="C192" s="3"/>
      <c r="D192" s="4"/>
      <c r="E192" s="4"/>
      <c r="F192" s="4"/>
      <c r="G192" s="4"/>
      <c r="H192" s="3"/>
      <c r="I192" s="3"/>
      <c r="J192" s="4"/>
      <c r="K192" s="4"/>
      <c r="L192" s="3"/>
      <c r="M192" s="4"/>
      <c r="N192" s="3"/>
      <c r="O192" s="4"/>
      <c r="P192" s="4"/>
      <c r="Q192" s="4"/>
    </row>
    <row r="193" ht="15.75" customHeight="1">
      <c r="A193" s="4"/>
      <c r="B193" s="3"/>
      <c r="C193" s="3"/>
      <c r="D193" s="4"/>
      <c r="E193" s="4"/>
      <c r="F193" s="4"/>
      <c r="G193" s="4"/>
      <c r="H193" s="3"/>
      <c r="I193" s="3"/>
      <c r="J193" s="4"/>
      <c r="K193" s="4"/>
      <c r="L193" s="3"/>
      <c r="M193" s="4"/>
      <c r="N193" s="3"/>
      <c r="O193" s="4"/>
      <c r="P193" s="4"/>
      <c r="Q193" s="4"/>
    </row>
    <row r="194" ht="15.75" customHeight="1">
      <c r="A194" s="4"/>
      <c r="B194" s="3"/>
      <c r="C194" s="3"/>
      <c r="D194" s="4"/>
      <c r="E194" s="4"/>
      <c r="F194" s="4"/>
      <c r="G194" s="4"/>
      <c r="H194" s="3"/>
      <c r="I194" s="3"/>
      <c r="J194" s="4"/>
      <c r="K194" s="4"/>
      <c r="L194" s="3"/>
      <c r="M194" s="4"/>
      <c r="N194" s="3"/>
      <c r="O194" s="4"/>
      <c r="P194" s="4"/>
      <c r="Q194" s="4"/>
    </row>
    <row r="195" ht="15.75" customHeight="1">
      <c r="A195" s="4"/>
      <c r="B195" s="3"/>
      <c r="C195" s="3"/>
      <c r="D195" s="4"/>
      <c r="E195" s="4"/>
      <c r="F195" s="4"/>
      <c r="G195" s="4"/>
      <c r="H195" s="3"/>
      <c r="I195" s="3"/>
      <c r="J195" s="4"/>
      <c r="K195" s="4"/>
      <c r="L195" s="3"/>
      <c r="M195" s="4"/>
      <c r="N195" s="3"/>
      <c r="O195" s="4"/>
      <c r="P195" s="4"/>
      <c r="Q195" s="4"/>
    </row>
    <row r="196" ht="15.75" customHeight="1">
      <c r="A196" s="4"/>
      <c r="B196" s="3"/>
      <c r="C196" s="3"/>
      <c r="D196" s="4"/>
      <c r="E196" s="4"/>
      <c r="F196" s="4"/>
      <c r="G196" s="4"/>
      <c r="H196" s="3"/>
      <c r="I196" s="3"/>
      <c r="J196" s="4"/>
      <c r="K196" s="4"/>
      <c r="L196" s="3"/>
      <c r="M196" s="4"/>
      <c r="N196" s="3"/>
      <c r="O196" s="4"/>
      <c r="P196" s="4"/>
      <c r="Q196" s="4"/>
    </row>
    <row r="197" ht="15.75" customHeight="1">
      <c r="A197" s="4"/>
      <c r="B197" s="3"/>
      <c r="C197" s="3"/>
      <c r="D197" s="4"/>
      <c r="E197" s="4"/>
      <c r="F197" s="4"/>
      <c r="G197" s="4"/>
      <c r="H197" s="3"/>
      <c r="I197" s="3"/>
      <c r="J197" s="4"/>
      <c r="K197" s="4"/>
      <c r="L197" s="3"/>
      <c r="M197" s="4"/>
      <c r="N197" s="3"/>
      <c r="O197" s="4"/>
      <c r="P197" s="4"/>
      <c r="Q197" s="4"/>
    </row>
    <row r="198" ht="15.75" customHeight="1">
      <c r="A198" s="4"/>
      <c r="B198" s="3"/>
      <c r="C198" s="3"/>
      <c r="D198" s="4"/>
      <c r="E198" s="4"/>
      <c r="F198" s="4"/>
      <c r="G198" s="4"/>
      <c r="H198" s="3"/>
      <c r="I198" s="3"/>
      <c r="J198" s="4"/>
      <c r="K198" s="4"/>
      <c r="L198" s="3"/>
      <c r="M198" s="4"/>
      <c r="N198" s="3"/>
      <c r="O198" s="4"/>
      <c r="P198" s="4"/>
      <c r="Q198" s="4"/>
    </row>
    <row r="199" ht="15.75" customHeight="1">
      <c r="A199" s="4"/>
      <c r="B199" s="3"/>
      <c r="C199" s="3"/>
      <c r="D199" s="4"/>
      <c r="E199" s="4"/>
      <c r="F199" s="4"/>
      <c r="G199" s="4"/>
      <c r="H199" s="3"/>
      <c r="I199" s="3"/>
      <c r="J199" s="4"/>
      <c r="K199" s="4"/>
      <c r="L199" s="3"/>
      <c r="M199" s="4"/>
      <c r="N199" s="3"/>
      <c r="O199" s="4"/>
      <c r="P199" s="4"/>
      <c r="Q199" s="4"/>
    </row>
    <row r="200" ht="15.75" customHeight="1">
      <c r="A200" s="4"/>
      <c r="B200" s="3"/>
      <c r="C200" s="3"/>
      <c r="D200" s="4"/>
      <c r="E200" s="4"/>
      <c r="F200" s="4"/>
      <c r="G200" s="4"/>
      <c r="H200" s="3"/>
      <c r="I200" s="3"/>
      <c r="J200" s="4"/>
      <c r="K200" s="4"/>
      <c r="L200" s="3"/>
      <c r="M200" s="4"/>
      <c r="N200" s="3"/>
      <c r="O200" s="4"/>
      <c r="P200" s="4"/>
      <c r="Q200" s="4"/>
    </row>
    <row r="201" ht="15.75" customHeight="1">
      <c r="A201" s="4"/>
      <c r="B201" s="3"/>
      <c r="C201" s="3"/>
      <c r="D201" s="4"/>
      <c r="E201" s="4"/>
      <c r="F201" s="4"/>
      <c r="G201" s="4"/>
      <c r="H201" s="3"/>
      <c r="I201" s="3"/>
      <c r="J201" s="4"/>
      <c r="K201" s="4"/>
      <c r="L201" s="3"/>
      <c r="M201" s="4"/>
      <c r="N201" s="3"/>
      <c r="O201" s="4"/>
      <c r="P201" s="4"/>
      <c r="Q201" s="4"/>
    </row>
    <row r="202" ht="15.75" customHeight="1">
      <c r="A202" s="4"/>
      <c r="B202" s="3"/>
      <c r="C202" s="3"/>
      <c r="D202" s="4"/>
      <c r="E202" s="4"/>
      <c r="F202" s="4"/>
      <c r="G202" s="4"/>
      <c r="H202" s="3"/>
      <c r="I202" s="3"/>
      <c r="J202" s="4"/>
      <c r="K202" s="4"/>
      <c r="L202" s="3"/>
      <c r="M202" s="4"/>
      <c r="N202" s="3"/>
      <c r="O202" s="4"/>
      <c r="P202" s="4"/>
      <c r="Q202" s="4"/>
    </row>
    <row r="203" ht="15.75" customHeight="1">
      <c r="A203" s="4"/>
      <c r="B203" s="3"/>
      <c r="C203" s="3"/>
      <c r="D203" s="4"/>
      <c r="E203" s="4"/>
      <c r="F203" s="4"/>
      <c r="G203" s="4"/>
      <c r="H203" s="3"/>
      <c r="I203" s="3"/>
      <c r="J203" s="4"/>
      <c r="K203" s="4"/>
      <c r="L203" s="3"/>
      <c r="M203" s="4"/>
      <c r="N203" s="3"/>
      <c r="O203" s="4"/>
      <c r="P203" s="4"/>
      <c r="Q203" s="4"/>
    </row>
    <row r="204" ht="15.75" customHeight="1">
      <c r="A204" s="4"/>
      <c r="B204" s="3"/>
      <c r="C204" s="3"/>
      <c r="D204" s="4"/>
      <c r="E204" s="4"/>
      <c r="F204" s="4"/>
      <c r="G204" s="4"/>
      <c r="H204" s="3"/>
      <c r="I204" s="3"/>
      <c r="J204" s="4"/>
      <c r="K204" s="4"/>
      <c r="L204" s="3"/>
      <c r="M204" s="4"/>
      <c r="N204" s="3"/>
      <c r="O204" s="4"/>
      <c r="P204" s="4"/>
      <c r="Q204" s="4"/>
    </row>
    <row r="205" ht="15.75" customHeight="1">
      <c r="A205" s="4"/>
      <c r="B205" s="3"/>
      <c r="C205" s="3"/>
      <c r="D205" s="4"/>
      <c r="E205" s="4"/>
      <c r="F205" s="4"/>
      <c r="G205" s="4"/>
      <c r="H205" s="3"/>
      <c r="I205" s="3"/>
      <c r="J205" s="4"/>
      <c r="K205" s="4"/>
      <c r="L205" s="3"/>
      <c r="M205" s="4"/>
      <c r="N205" s="3"/>
      <c r="O205" s="4"/>
      <c r="P205" s="4"/>
      <c r="Q205" s="4"/>
    </row>
    <row r="206" ht="15.75" customHeight="1">
      <c r="A206" s="4"/>
      <c r="B206" s="3"/>
      <c r="C206" s="3"/>
      <c r="D206" s="4"/>
      <c r="E206" s="4"/>
      <c r="F206" s="4"/>
      <c r="G206" s="4"/>
      <c r="H206" s="3"/>
      <c r="I206" s="3"/>
      <c r="J206" s="4"/>
      <c r="K206" s="4"/>
      <c r="L206" s="3"/>
      <c r="M206" s="4"/>
      <c r="N206" s="3"/>
      <c r="O206" s="4"/>
      <c r="P206" s="4"/>
      <c r="Q206" s="4"/>
    </row>
    <row r="207" ht="15.75" customHeight="1">
      <c r="A207" s="4"/>
      <c r="B207" s="3"/>
      <c r="C207" s="3"/>
      <c r="D207" s="4"/>
      <c r="E207" s="4"/>
      <c r="F207" s="4"/>
      <c r="G207" s="4"/>
      <c r="H207" s="3"/>
      <c r="I207" s="3"/>
      <c r="J207" s="4"/>
      <c r="K207" s="4"/>
      <c r="L207" s="3"/>
      <c r="M207" s="4"/>
      <c r="N207" s="3"/>
      <c r="O207" s="4"/>
      <c r="P207" s="4"/>
      <c r="Q207" s="4"/>
    </row>
    <row r="208" ht="15.75" customHeight="1">
      <c r="A208" s="4"/>
      <c r="B208" s="3"/>
      <c r="C208" s="3"/>
      <c r="D208" s="4"/>
      <c r="E208" s="4"/>
      <c r="F208" s="4"/>
      <c r="G208" s="4"/>
      <c r="H208" s="3"/>
      <c r="I208" s="3"/>
      <c r="J208" s="4"/>
      <c r="K208" s="4"/>
      <c r="L208" s="3"/>
      <c r="M208" s="4"/>
      <c r="N208" s="3"/>
      <c r="O208" s="4"/>
      <c r="P208" s="4"/>
      <c r="Q208" s="4"/>
    </row>
    <row r="209" ht="15.75" customHeight="1">
      <c r="A209" s="4"/>
      <c r="B209" s="3"/>
      <c r="C209" s="3"/>
      <c r="D209" s="4"/>
      <c r="E209" s="4"/>
      <c r="F209" s="4"/>
      <c r="G209" s="4"/>
      <c r="H209" s="3"/>
      <c r="I209" s="3"/>
      <c r="J209" s="4"/>
      <c r="K209" s="4"/>
      <c r="L209" s="3"/>
      <c r="M209" s="4"/>
      <c r="N209" s="3"/>
      <c r="O209" s="4"/>
      <c r="P209" s="4"/>
      <c r="Q209" s="4"/>
    </row>
    <row r="210" ht="15.75" customHeight="1">
      <c r="A210" s="4"/>
      <c r="B210" s="3"/>
      <c r="C210" s="3"/>
      <c r="D210" s="4"/>
      <c r="E210" s="4"/>
      <c r="F210" s="4"/>
      <c r="G210" s="4"/>
      <c r="H210" s="3"/>
      <c r="I210" s="3"/>
      <c r="J210" s="4"/>
      <c r="K210" s="4"/>
      <c r="L210" s="3"/>
      <c r="M210" s="4"/>
      <c r="N210" s="3"/>
      <c r="O210" s="4"/>
      <c r="P210" s="4"/>
      <c r="Q210" s="4"/>
    </row>
    <row r="211" ht="15.75" customHeight="1">
      <c r="A211" s="4"/>
      <c r="B211" s="3"/>
      <c r="C211" s="3"/>
      <c r="D211" s="4"/>
      <c r="E211" s="4"/>
      <c r="F211" s="4"/>
      <c r="G211" s="4"/>
      <c r="H211" s="3"/>
      <c r="I211" s="3"/>
      <c r="J211" s="4"/>
      <c r="K211" s="4"/>
      <c r="L211" s="3"/>
      <c r="M211" s="4"/>
      <c r="N211" s="3"/>
      <c r="O211" s="4"/>
      <c r="P211" s="4"/>
      <c r="Q211" s="4"/>
    </row>
    <row r="212" ht="15.75" customHeight="1">
      <c r="A212" s="4"/>
      <c r="B212" s="3"/>
      <c r="C212" s="3"/>
      <c r="D212" s="4"/>
      <c r="E212" s="4"/>
      <c r="F212" s="4"/>
      <c r="G212" s="4"/>
      <c r="H212" s="3"/>
      <c r="I212" s="3"/>
      <c r="J212" s="4"/>
      <c r="K212" s="4"/>
      <c r="L212" s="3"/>
      <c r="M212" s="4"/>
      <c r="N212" s="3"/>
      <c r="O212" s="4"/>
      <c r="P212" s="4"/>
      <c r="Q212" s="4"/>
    </row>
    <row r="213" ht="15.75" customHeight="1">
      <c r="A213" s="4"/>
      <c r="B213" s="3"/>
      <c r="C213" s="3"/>
      <c r="D213" s="4"/>
      <c r="E213" s="4"/>
      <c r="F213" s="4"/>
      <c r="G213" s="4"/>
      <c r="H213" s="3"/>
      <c r="I213" s="3"/>
      <c r="J213" s="4"/>
      <c r="K213" s="4"/>
      <c r="L213" s="3"/>
      <c r="M213" s="4"/>
      <c r="N213" s="3"/>
      <c r="O213" s="4"/>
      <c r="P213" s="4"/>
      <c r="Q213" s="4"/>
    </row>
    <row r="214" ht="15.75" customHeight="1">
      <c r="A214" s="4"/>
      <c r="B214" s="3"/>
      <c r="C214" s="3"/>
      <c r="D214" s="4"/>
      <c r="E214" s="4"/>
      <c r="F214" s="4"/>
      <c r="G214" s="4"/>
      <c r="H214" s="3"/>
      <c r="I214" s="3"/>
      <c r="J214" s="4"/>
      <c r="K214" s="4"/>
      <c r="L214" s="3"/>
      <c r="M214" s="4"/>
      <c r="N214" s="3"/>
      <c r="O214" s="4"/>
      <c r="P214" s="4"/>
      <c r="Q214" s="4"/>
    </row>
    <row r="215" ht="15.75" customHeight="1">
      <c r="A215" s="4"/>
      <c r="B215" s="3"/>
      <c r="C215" s="3"/>
      <c r="D215" s="4"/>
      <c r="E215" s="4"/>
      <c r="F215" s="4"/>
      <c r="G215" s="4"/>
      <c r="H215" s="3"/>
      <c r="I215" s="3"/>
      <c r="J215" s="4"/>
      <c r="K215" s="4"/>
      <c r="L215" s="3"/>
      <c r="M215" s="4"/>
      <c r="N215" s="3"/>
      <c r="O215" s="4"/>
      <c r="P215" s="4"/>
      <c r="Q215" s="4"/>
    </row>
    <row r="216" ht="15.75" customHeight="1">
      <c r="A216" s="4"/>
      <c r="B216" s="3"/>
      <c r="C216" s="3"/>
      <c r="D216" s="4"/>
      <c r="E216" s="4"/>
      <c r="F216" s="4"/>
      <c r="G216" s="4"/>
      <c r="H216" s="3"/>
      <c r="I216" s="3"/>
      <c r="J216" s="4"/>
      <c r="K216" s="4"/>
      <c r="L216" s="3"/>
      <c r="M216" s="4"/>
      <c r="N216" s="3"/>
      <c r="O216" s="4"/>
      <c r="P216" s="4"/>
      <c r="Q216" s="4"/>
    </row>
    <row r="217" ht="15.75" customHeight="1">
      <c r="A217" s="4"/>
      <c r="B217" s="3"/>
      <c r="C217" s="3"/>
      <c r="D217" s="4"/>
      <c r="E217" s="4"/>
      <c r="F217" s="4"/>
      <c r="G217" s="4"/>
      <c r="H217" s="3"/>
      <c r="I217" s="3"/>
      <c r="J217" s="4"/>
      <c r="K217" s="4"/>
      <c r="L217" s="3"/>
      <c r="M217" s="4"/>
      <c r="N217" s="3"/>
      <c r="O217" s="4"/>
      <c r="P217" s="4"/>
      <c r="Q217" s="4"/>
    </row>
    <row r="218" ht="15.75" customHeight="1">
      <c r="A218" s="4"/>
      <c r="B218" s="3"/>
      <c r="C218" s="3"/>
      <c r="D218" s="4"/>
      <c r="E218" s="4"/>
      <c r="F218" s="4"/>
      <c r="G218" s="4"/>
      <c r="H218" s="3"/>
      <c r="I218" s="3"/>
      <c r="J218" s="4"/>
      <c r="K218" s="4"/>
      <c r="L218" s="3"/>
      <c r="M218" s="4"/>
      <c r="N218" s="3"/>
      <c r="O218" s="4"/>
      <c r="P218" s="4"/>
      <c r="Q218" s="4"/>
    </row>
    <row r="219" ht="15.75" customHeight="1">
      <c r="A219" s="4"/>
      <c r="B219" s="3"/>
      <c r="C219" s="3"/>
      <c r="D219" s="4"/>
      <c r="E219" s="4"/>
      <c r="F219" s="4"/>
      <c r="G219" s="4"/>
      <c r="H219" s="3"/>
      <c r="I219" s="3"/>
      <c r="J219" s="4"/>
      <c r="K219" s="4"/>
      <c r="L219" s="3"/>
      <c r="M219" s="4"/>
      <c r="N219" s="3"/>
      <c r="O219" s="4"/>
      <c r="P219" s="4"/>
      <c r="Q219" s="4"/>
    </row>
    <row r="220" ht="15.75" customHeight="1">
      <c r="A220" s="4"/>
      <c r="B220" s="3"/>
      <c r="C220" s="3"/>
      <c r="D220" s="4"/>
      <c r="E220" s="4"/>
      <c r="F220" s="4"/>
      <c r="G220" s="4"/>
      <c r="H220" s="3"/>
      <c r="I220" s="3"/>
      <c r="J220" s="4"/>
      <c r="K220" s="4"/>
      <c r="L220" s="3"/>
      <c r="M220" s="4"/>
      <c r="N220" s="3"/>
      <c r="O220" s="4"/>
      <c r="P220" s="4"/>
      <c r="Q220" s="4"/>
    </row>
    <row r="221" ht="15.75" customHeight="1">
      <c r="A221" s="4"/>
      <c r="B221" s="3"/>
      <c r="C221" s="3"/>
      <c r="D221" s="4"/>
      <c r="E221" s="4"/>
      <c r="F221" s="4"/>
      <c r="G221" s="4"/>
      <c r="H221" s="3"/>
      <c r="I221" s="3"/>
      <c r="J221" s="4"/>
      <c r="K221" s="4"/>
      <c r="L221" s="3"/>
      <c r="M221" s="4"/>
      <c r="N221" s="3"/>
      <c r="O221" s="4"/>
      <c r="P221" s="4"/>
      <c r="Q221" s="4"/>
    </row>
    <row r="222" ht="15.75" customHeight="1">
      <c r="A222" s="4"/>
      <c r="B222" s="3"/>
      <c r="C222" s="3"/>
      <c r="D222" s="4"/>
      <c r="E222" s="4"/>
      <c r="F222" s="4"/>
      <c r="G222" s="4"/>
      <c r="H222" s="3"/>
      <c r="I222" s="3"/>
      <c r="J222" s="4"/>
      <c r="K222" s="4"/>
      <c r="L222" s="3"/>
      <c r="M222" s="4"/>
      <c r="N222" s="3"/>
      <c r="O222" s="4"/>
      <c r="P222" s="4"/>
      <c r="Q222" s="4"/>
    </row>
    <row r="223" ht="15.75" customHeight="1">
      <c r="A223" s="4"/>
      <c r="B223" s="3"/>
      <c r="C223" s="3"/>
      <c r="D223" s="4"/>
      <c r="E223" s="4"/>
      <c r="F223" s="4"/>
      <c r="G223" s="4"/>
      <c r="H223" s="3"/>
      <c r="I223" s="3"/>
      <c r="J223" s="4"/>
      <c r="K223" s="4"/>
      <c r="L223" s="3"/>
      <c r="M223" s="4"/>
      <c r="N223" s="3"/>
      <c r="O223" s="4"/>
      <c r="P223" s="4"/>
      <c r="Q223" s="4"/>
    </row>
    <row r="224" ht="15.75" customHeight="1">
      <c r="A224" s="4"/>
      <c r="B224" s="3"/>
      <c r="C224" s="3"/>
      <c r="D224" s="4"/>
      <c r="E224" s="4"/>
      <c r="F224" s="4"/>
      <c r="G224" s="4"/>
      <c r="H224" s="3"/>
      <c r="I224" s="3"/>
      <c r="J224" s="4"/>
      <c r="K224" s="4"/>
      <c r="L224" s="3"/>
      <c r="M224" s="4"/>
      <c r="N224" s="3"/>
      <c r="O224" s="4"/>
      <c r="P224" s="4"/>
      <c r="Q224" s="4"/>
    </row>
    <row r="225" ht="15.75" customHeight="1">
      <c r="A225" s="4"/>
      <c r="B225" s="3"/>
      <c r="C225" s="3"/>
      <c r="D225" s="4"/>
      <c r="E225" s="4"/>
      <c r="F225" s="4"/>
      <c r="G225" s="4"/>
      <c r="H225" s="3"/>
      <c r="I225" s="3"/>
      <c r="J225" s="4"/>
      <c r="K225" s="4"/>
      <c r="L225" s="3"/>
      <c r="M225" s="4"/>
      <c r="N225" s="3"/>
      <c r="O225" s="4"/>
      <c r="P225" s="4"/>
      <c r="Q225" s="4"/>
    </row>
    <row r="226" ht="15.75" customHeight="1">
      <c r="A226" s="4"/>
      <c r="B226" s="3"/>
      <c r="C226" s="3"/>
      <c r="D226" s="4"/>
      <c r="E226" s="4"/>
      <c r="F226" s="4"/>
      <c r="G226" s="4"/>
      <c r="H226" s="3"/>
      <c r="I226" s="3"/>
      <c r="J226" s="4"/>
      <c r="K226" s="4"/>
      <c r="L226" s="3"/>
      <c r="M226" s="4"/>
      <c r="N226" s="3"/>
      <c r="O226" s="4"/>
      <c r="P226" s="4"/>
      <c r="Q226" s="4"/>
    </row>
    <row r="227" ht="15.75" customHeight="1">
      <c r="A227" s="4"/>
      <c r="B227" s="3"/>
      <c r="C227" s="3"/>
      <c r="D227" s="4"/>
      <c r="E227" s="4"/>
      <c r="F227" s="4"/>
      <c r="G227" s="4"/>
      <c r="H227" s="3"/>
      <c r="I227" s="3"/>
      <c r="J227" s="4"/>
      <c r="K227" s="4"/>
      <c r="L227" s="3"/>
      <c r="M227" s="4"/>
      <c r="N227" s="3"/>
      <c r="O227" s="4"/>
      <c r="P227" s="4"/>
      <c r="Q227" s="4"/>
    </row>
    <row r="228" ht="15.75" customHeight="1">
      <c r="A228" s="4"/>
      <c r="B228" s="3"/>
      <c r="C228" s="3"/>
      <c r="D228" s="4"/>
      <c r="E228" s="4"/>
      <c r="F228" s="4"/>
      <c r="G228" s="4"/>
      <c r="H228" s="3"/>
      <c r="I228" s="3"/>
      <c r="J228" s="4"/>
      <c r="K228" s="4"/>
      <c r="L228" s="3"/>
      <c r="M228" s="4"/>
      <c r="N228" s="3"/>
      <c r="O228" s="4"/>
      <c r="P228" s="4"/>
      <c r="Q228" s="4"/>
    </row>
    <row r="229" ht="15.75" customHeight="1">
      <c r="A229" s="4"/>
      <c r="B229" s="3"/>
      <c r="C229" s="3"/>
      <c r="D229" s="4"/>
      <c r="E229" s="4"/>
      <c r="F229" s="4"/>
      <c r="G229" s="4"/>
      <c r="H229" s="3"/>
      <c r="I229" s="3"/>
      <c r="J229" s="4"/>
      <c r="K229" s="4"/>
      <c r="L229" s="3"/>
      <c r="M229" s="4"/>
      <c r="N229" s="3"/>
      <c r="O229" s="4"/>
      <c r="P229" s="4"/>
      <c r="Q229" s="4"/>
    </row>
    <row r="230" ht="15.75" customHeight="1">
      <c r="A230" s="4"/>
      <c r="B230" s="3"/>
      <c r="C230" s="3"/>
      <c r="D230" s="4"/>
      <c r="E230" s="4"/>
      <c r="F230" s="4"/>
      <c r="G230" s="4"/>
      <c r="H230" s="3"/>
      <c r="I230" s="3"/>
      <c r="J230" s="4"/>
      <c r="K230" s="4"/>
      <c r="L230" s="3"/>
      <c r="M230" s="4"/>
      <c r="N230" s="3"/>
      <c r="O230" s="4"/>
      <c r="P230" s="4"/>
      <c r="Q230" s="4"/>
    </row>
    <row r="231" ht="15.75" customHeight="1">
      <c r="A231" s="4"/>
      <c r="B231" s="3"/>
      <c r="C231" s="3"/>
      <c r="D231" s="4"/>
      <c r="E231" s="4"/>
      <c r="F231" s="4"/>
      <c r="G231" s="4"/>
      <c r="H231" s="3"/>
      <c r="I231" s="3"/>
      <c r="J231" s="4"/>
      <c r="K231" s="4"/>
      <c r="L231" s="3"/>
      <c r="M231" s="4"/>
      <c r="N231" s="3"/>
      <c r="O231" s="4"/>
      <c r="P231" s="4"/>
      <c r="Q231" s="4"/>
    </row>
    <row r="232" ht="15.75" customHeight="1">
      <c r="A232" s="4"/>
      <c r="B232" s="3"/>
      <c r="C232" s="3"/>
      <c r="D232" s="4"/>
      <c r="E232" s="4"/>
      <c r="F232" s="4"/>
      <c r="G232" s="4"/>
      <c r="H232" s="3"/>
      <c r="I232" s="3"/>
      <c r="J232" s="4"/>
      <c r="K232" s="4"/>
      <c r="L232" s="3"/>
      <c r="M232" s="4"/>
      <c r="N232" s="3"/>
      <c r="O232" s="4"/>
      <c r="P232" s="4"/>
      <c r="Q232" s="4"/>
    </row>
    <row r="233" ht="15.75" customHeight="1">
      <c r="A233" s="4"/>
      <c r="B233" s="3"/>
      <c r="C233" s="3"/>
      <c r="D233" s="4"/>
      <c r="E233" s="4"/>
      <c r="F233" s="4"/>
      <c r="G233" s="4"/>
      <c r="H233" s="3"/>
      <c r="I233" s="3"/>
      <c r="J233" s="4"/>
      <c r="K233" s="4"/>
      <c r="L233" s="3"/>
      <c r="M233" s="4"/>
      <c r="N233" s="3"/>
      <c r="O233" s="4"/>
      <c r="P233" s="4"/>
      <c r="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0.57"/>
    <col customWidth="1" min="3" max="6" width="14.43"/>
  </cols>
  <sheetData>
    <row r="1">
      <c r="A1" s="14" t="s">
        <v>112</v>
      </c>
      <c r="B1" s="3">
        <f>6756049</f>
        <v>6756049</v>
      </c>
      <c r="C1" s="4"/>
      <c r="D1" s="4"/>
      <c r="E1" s="51">
        <v>45908.0</v>
      </c>
      <c r="F1" s="4" t="s">
        <v>127</v>
      </c>
      <c r="I1" s="3"/>
    </row>
    <row r="2">
      <c r="A2" s="14" t="s">
        <v>9</v>
      </c>
      <c r="B2" s="3">
        <v>0.0</v>
      </c>
      <c r="C2" s="4"/>
      <c r="D2" s="4"/>
      <c r="E2" s="52">
        <v>45915.0</v>
      </c>
      <c r="F2" s="4" t="s">
        <v>52</v>
      </c>
      <c r="G2" s="3"/>
      <c r="H2" s="3"/>
      <c r="I2" s="3"/>
    </row>
    <row r="3">
      <c r="A3" s="14" t="s">
        <v>128</v>
      </c>
      <c r="B3" s="3">
        <v>9318464.0</v>
      </c>
      <c r="C3" s="4"/>
      <c r="D3" s="4"/>
      <c r="E3" s="52">
        <v>45925.0</v>
      </c>
      <c r="F3" s="4" t="s">
        <v>129</v>
      </c>
      <c r="G3" s="3"/>
      <c r="H3" s="3"/>
      <c r="I3" s="3"/>
    </row>
    <row r="4">
      <c r="A4" s="14"/>
      <c r="B4" s="3"/>
      <c r="C4" s="4"/>
      <c r="D4" s="4"/>
      <c r="E4" s="52">
        <v>45925.0</v>
      </c>
      <c r="F4" s="4" t="s">
        <v>129</v>
      </c>
      <c r="G4" s="3"/>
      <c r="H4" s="3"/>
      <c r="I4" s="3"/>
    </row>
    <row r="5">
      <c r="A5" s="14" t="s">
        <v>130</v>
      </c>
      <c r="B5" s="3"/>
      <c r="C5" s="4"/>
      <c r="D5" s="4"/>
      <c r="E5" s="51">
        <v>45928.0</v>
      </c>
      <c r="F5" s="4" t="s">
        <v>21</v>
      </c>
      <c r="G5" s="3"/>
      <c r="H5" s="3"/>
    </row>
    <row r="6">
      <c r="A6" s="14" t="s">
        <v>131</v>
      </c>
      <c r="B6" s="3"/>
      <c r="C6" s="4"/>
      <c r="D6" s="4"/>
      <c r="E6" s="53">
        <v>45897.0</v>
      </c>
      <c r="F6" s="54" t="s">
        <v>132</v>
      </c>
      <c r="G6" s="54"/>
      <c r="H6" s="55"/>
    </row>
    <row r="7">
      <c r="A7" s="14" t="s">
        <v>87</v>
      </c>
      <c r="B7" s="56"/>
      <c r="C7" s="4"/>
      <c r="D7" s="4"/>
      <c r="E7" s="51">
        <v>45897.0</v>
      </c>
      <c r="F7" s="4" t="s">
        <v>133</v>
      </c>
    </row>
    <row r="8">
      <c r="A8" s="14" t="s">
        <v>134</v>
      </c>
      <c r="B8" s="56"/>
      <c r="C8" s="4"/>
      <c r="D8" s="4"/>
      <c r="E8" s="52"/>
      <c r="F8" s="4"/>
    </row>
    <row r="9">
      <c r="A9" s="14"/>
      <c r="B9" s="56">
        <f>SUM(B1:B8)</f>
        <v>16074513</v>
      </c>
      <c r="C9" s="4"/>
      <c r="D9" s="4"/>
      <c r="E9" s="52">
        <v>45930.0</v>
      </c>
      <c r="F9" s="4" t="s">
        <v>135</v>
      </c>
    </row>
    <row r="10">
      <c r="A10" s="14" t="s">
        <v>25</v>
      </c>
      <c r="B10" s="5">
        <v>2.0E7</v>
      </c>
      <c r="C10" s="4"/>
      <c r="D10" s="4"/>
      <c r="E10" s="4"/>
      <c r="F10" s="4"/>
      <c r="G10" s="3">
        <f t="shared" ref="G10:H10" si="1">SUM(G1:G9)</f>
        <v>0</v>
      </c>
      <c r="H10" s="3">
        <f t="shared" si="1"/>
        <v>0</v>
      </c>
      <c r="I10" s="3">
        <f>G10+H10</f>
        <v>0</v>
      </c>
    </row>
    <row r="11">
      <c r="A11" s="14" t="s">
        <v>26</v>
      </c>
      <c r="B11" s="3"/>
      <c r="C11" s="4"/>
      <c r="D11" s="4"/>
      <c r="E11" s="4"/>
      <c r="F11" s="4"/>
    </row>
    <row r="12">
      <c r="A12" s="14" t="s">
        <v>27</v>
      </c>
      <c r="B12" s="14">
        <v>5000000.0</v>
      </c>
      <c r="C12" s="4"/>
      <c r="D12" s="4"/>
      <c r="E12" s="4"/>
      <c r="F12" s="4"/>
    </row>
    <row r="13">
      <c r="A13" s="14"/>
      <c r="B13" s="56">
        <f>SUM(B10:B12)-B9</f>
        <v>8925487</v>
      </c>
      <c r="C13" s="4"/>
      <c r="D13" s="4"/>
      <c r="E13" s="4"/>
      <c r="F13" s="4"/>
    </row>
    <row r="14">
      <c r="A14" s="14" t="s">
        <v>29</v>
      </c>
      <c r="B14" s="56">
        <v>9000000.0</v>
      </c>
      <c r="C14" s="4"/>
      <c r="D14" s="4"/>
      <c r="E14" s="4"/>
      <c r="F14" s="4"/>
    </row>
    <row r="15">
      <c r="A15" s="57" t="s">
        <v>31</v>
      </c>
      <c r="B15" s="5"/>
      <c r="C15" s="4"/>
      <c r="D15" s="4"/>
      <c r="E15" s="4"/>
      <c r="F15" s="4"/>
    </row>
    <row r="16">
      <c r="A16" s="4" t="s">
        <v>136</v>
      </c>
      <c r="B16" s="3">
        <v>-4.5E9</v>
      </c>
      <c r="C16" s="4"/>
      <c r="D16" s="4"/>
      <c r="E16" s="4"/>
      <c r="F16" s="4"/>
    </row>
    <row r="17">
      <c r="A17" s="4" t="s">
        <v>137</v>
      </c>
      <c r="B17" s="3">
        <f>B16+B14</f>
        <v>-4491000000</v>
      </c>
      <c r="C17" s="4"/>
      <c r="D17" s="4"/>
      <c r="E17" s="4"/>
      <c r="F17" s="4"/>
    </row>
    <row r="18">
      <c r="A18" s="4" t="s">
        <v>37</v>
      </c>
      <c r="B18" s="3">
        <v>-1.72699995E8</v>
      </c>
      <c r="C18" s="4"/>
      <c r="D18" s="4"/>
      <c r="E18" s="4"/>
      <c r="F18" s="4"/>
    </row>
    <row r="19">
      <c r="A19" s="4"/>
      <c r="B19" s="3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3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6" width="14.43"/>
  </cols>
  <sheetData>
    <row r="1">
      <c r="A1" s="14" t="s">
        <v>112</v>
      </c>
      <c r="B1" s="3">
        <f>6564625+4800000</f>
        <v>11364625</v>
      </c>
      <c r="C1" s="4"/>
      <c r="D1" s="4"/>
      <c r="E1" s="51">
        <v>45908.0</v>
      </c>
      <c r="F1" s="4" t="s">
        <v>127</v>
      </c>
      <c r="G1" s="4">
        <v>1.33E7</v>
      </c>
      <c r="I1" s="3"/>
    </row>
    <row r="2">
      <c r="A2" s="14" t="s">
        <v>9</v>
      </c>
      <c r="B2" s="3">
        <v>0.0</v>
      </c>
      <c r="C2" s="4"/>
      <c r="D2" s="4"/>
      <c r="E2" s="52">
        <v>45915.0</v>
      </c>
      <c r="F2" s="4" t="s">
        <v>52</v>
      </c>
      <c r="G2" s="3">
        <v>1.1E7</v>
      </c>
      <c r="H2" s="3"/>
      <c r="I2" s="3"/>
    </row>
    <row r="3">
      <c r="A3" s="14" t="s">
        <v>128</v>
      </c>
      <c r="B3" s="3">
        <f>11849148+139742</f>
        <v>11988890</v>
      </c>
      <c r="C3" s="4"/>
      <c r="D3" s="4"/>
      <c r="E3" s="52">
        <v>45925.0</v>
      </c>
      <c r="F3" s="4" t="s">
        <v>129</v>
      </c>
      <c r="G3" s="3"/>
      <c r="H3" s="3">
        <v>-1.1364625E7</v>
      </c>
      <c r="I3" s="3"/>
    </row>
    <row r="4">
      <c r="A4" s="14"/>
      <c r="B4" s="3"/>
      <c r="C4" s="4"/>
      <c r="D4" s="4"/>
      <c r="E4" s="52">
        <v>45925.0</v>
      </c>
      <c r="F4" s="4" t="s">
        <v>129</v>
      </c>
      <c r="G4" s="3"/>
      <c r="H4" s="3"/>
      <c r="I4" s="3"/>
    </row>
    <row r="5">
      <c r="A5" s="14" t="s">
        <v>138</v>
      </c>
      <c r="B5" s="3"/>
      <c r="C5" s="4"/>
      <c r="D5" s="4"/>
      <c r="E5" s="51">
        <v>45928.0</v>
      </c>
      <c r="F5" s="4" t="s">
        <v>21</v>
      </c>
      <c r="G5" s="3"/>
      <c r="H5" s="3">
        <f>-B3</f>
        <v>-11988890</v>
      </c>
    </row>
    <row r="6">
      <c r="A6" s="14" t="s">
        <v>139</v>
      </c>
      <c r="B6" s="3"/>
      <c r="C6" s="4"/>
      <c r="D6" s="4"/>
      <c r="E6" s="53">
        <v>45897.0</v>
      </c>
      <c r="F6" s="54" t="s">
        <v>132</v>
      </c>
      <c r="G6" s="54"/>
      <c r="H6" s="55"/>
    </row>
    <row r="7">
      <c r="A7" s="14" t="s">
        <v>87</v>
      </c>
      <c r="B7" s="56"/>
      <c r="C7" s="4"/>
      <c r="D7" s="4"/>
      <c r="E7" s="51">
        <v>45897.0</v>
      </c>
      <c r="F7" s="4" t="s">
        <v>133</v>
      </c>
    </row>
    <row r="8">
      <c r="A8" s="14" t="s">
        <v>134</v>
      </c>
      <c r="B8" s="56"/>
      <c r="C8" s="4"/>
      <c r="D8" s="4"/>
      <c r="E8" s="52"/>
      <c r="F8" s="4"/>
    </row>
    <row r="9">
      <c r="A9" s="14"/>
      <c r="B9" s="56">
        <f>SUM(B1:B8)</f>
        <v>23353515</v>
      </c>
      <c r="C9" s="4"/>
      <c r="D9" s="4"/>
      <c r="E9" s="52">
        <v>45930.0</v>
      </c>
      <c r="F9" s="4" t="s">
        <v>135</v>
      </c>
    </row>
    <row r="10">
      <c r="A10" s="14" t="s">
        <v>25</v>
      </c>
      <c r="B10" s="5">
        <v>1.7E7</v>
      </c>
      <c r="C10" s="4"/>
      <c r="D10" s="4"/>
      <c r="E10" s="4"/>
      <c r="F10" s="4"/>
      <c r="G10" s="3">
        <f t="shared" ref="G10:H10" si="1">SUM(G1:G9)</f>
        <v>24300000</v>
      </c>
      <c r="H10" s="3">
        <f t="shared" si="1"/>
        <v>-23353515</v>
      </c>
      <c r="I10" s="3">
        <f>G10+H10</f>
        <v>946485</v>
      </c>
    </row>
    <row r="11">
      <c r="A11" s="14" t="s">
        <v>26</v>
      </c>
      <c r="B11" s="3"/>
      <c r="C11" s="4"/>
      <c r="D11" s="4"/>
      <c r="E11" s="4"/>
      <c r="F11" s="4"/>
    </row>
    <row r="12">
      <c r="A12" s="14" t="s">
        <v>27</v>
      </c>
      <c r="B12" s="14">
        <v>1.33E7</v>
      </c>
      <c r="C12" s="4"/>
      <c r="D12" s="4"/>
      <c r="E12" s="4"/>
      <c r="F12" s="4"/>
    </row>
    <row r="13">
      <c r="A13" s="14"/>
      <c r="B13" s="56">
        <f>SUM(B10:B12)-B9</f>
        <v>6946485</v>
      </c>
      <c r="C13" s="4"/>
      <c r="D13" s="4"/>
      <c r="E13" s="4"/>
      <c r="F13" s="4"/>
    </row>
    <row r="14">
      <c r="A14" s="14" t="s">
        <v>140</v>
      </c>
      <c r="B14" s="56"/>
      <c r="C14" s="4"/>
      <c r="D14" s="4"/>
      <c r="E14" s="4"/>
      <c r="F14" s="4"/>
    </row>
    <row r="15">
      <c r="A15" s="57"/>
      <c r="B15" s="5"/>
      <c r="C15" s="4"/>
      <c r="D15" s="4"/>
      <c r="E15" s="4"/>
      <c r="F15" s="4"/>
    </row>
    <row r="16">
      <c r="A16" s="14" t="s">
        <v>141</v>
      </c>
      <c r="B16" s="5">
        <f>B13-B14</f>
        <v>6946485</v>
      </c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3"/>
      <c r="D21" s="4"/>
      <c r="E21" s="4"/>
      <c r="F21" s="4"/>
    </row>
    <row r="22" ht="15.75" customHeight="1">
      <c r="A22" s="4"/>
      <c r="B22" s="4"/>
      <c r="C22" s="3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6" width="14.43"/>
  </cols>
  <sheetData>
    <row r="1">
      <c r="A1" s="14" t="s">
        <v>112</v>
      </c>
      <c r="B1" s="3">
        <f>4193546+6583245+606454</f>
        <v>11383245</v>
      </c>
      <c r="C1" s="4"/>
      <c r="D1" s="4"/>
      <c r="E1" s="52">
        <v>45883.0</v>
      </c>
      <c r="F1" s="4" t="s">
        <v>27</v>
      </c>
      <c r="G1" s="3">
        <v>1.4E7</v>
      </c>
      <c r="H1" s="3"/>
      <c r="I1" s="3"/>
    </row>
    <row r="2">
      <c r="A2" s="14" t="s">
        <v>9</v>
      </c>
      <c r="B2" s="3">
        <v>0.0</v>
      </c>
      <c r="C2" s="4"/>
      <c r="D2" s="4"/>
      <c r="E2" s="52">
        <v>45884.0</v>
      </c>
      <c r="F2" s="4" t="s">
        <v>52</v>
      </c>
      <c r="G2" s="3">
        <v>7000000.0</v>
      </c>
      <c r="H2" s="3"/>
      <c r="I2" s="3"/>
    </row>
    <row r="3">
      <c r="A3" s="14" t="s">
        <v>128</v>
      </c>
      <c r="B3" s="3">
        <v>1.2006649E7</v>
      </c>
      <c r="C3" s="4"/>
      <c r="D3" s="4"/>
      <c r="E3" s="52">
        <v>45895.0</v>
      </c>
      <c r="F3" s="4" t="s">
        <v>129</v>
      </c>
      <c r="G3" s="3"/>
      <c r="H3" s="3">
        <v>-1.1383245E7</v>
      </c>
      <c r="I3" s="3"/>
    </row>
    <row r="4">
      <c r="A4" s="14"/>
      <c r="B4" s="3"/>
      <c r="C4" s="4"/>
      <c r="D4" s="4"/>
      <c r="E4" s="51">
        <v>45897.0</v>
      </c>
      <c r="F4" s="4" t="s">
        <v>21</v>
      </c>
      <c r="G4" s="3"/>
      <c r="H4" s="3">
        <v>-1.2006649E7</v>
      </c>
      <c r="I4" s="3"/>
    </row>
    <row r="5">
      <c r="A5" s="14" t="s">
        <v>138</v>
      </c>
      <c r="B5" s="3">
        <v>700000.0</v>
      </c>
      <c r="C5" s="4"/>
      <c r="D5" s="4"/>
      <c r="E5" s="53">
        <v>45897.0</v>
      </c>
      <c r="F5" s="54" t="s">
        <v>132</v>
      </c>
      <c r="G5" s="54"/>
      <c r="H5" s="55">
        <v>-3781918.0</v>
      </c>
    </row>
    <row r="6">
      <c r="A6" s="14" t="s">
        <v>139</v>
      </c>
      <c r="B6" s="3">
        <v>670000.0</v>
      </c>
      <c r="C6" s="4"/>
      <c r="D6" s="4"/>
      <c r="E6" s="51">
        <v>45897.0</v>
      </c>
      <c r="F6" s="4" t="s">
        <v>133</v>
      </c>
      <c r="G6" s="4">
        <v>6000000.0</v>
      </c>
    </row>
    <row r="7">
      <c r="A7" s="14" t="s">
        <v>87</v>
      </c>
      <c r="B7" s="56">
        <v>1200000.0</v>
      </c>
      <c r="C7" s="4"/>
      <c r="D7" s="4"/>
      <c r="E7" s="52"/>
      <c r="F7" s="4"/>
    </row>
    <row r="8">
      <c r="A8" s="14" t="s">
        <v>134</v>
      </c>
      <c r="B8" s="56">
        <v>1000000.0</v>
      </c>
      <c r="C8" s="4"/>
      <c r="D8" s="4"/>
      <c r="E8" s="52"/>
      <c r="F8" s="4"/>
    </row>
    <row r="9">
      <c r="A9" s="14"/>
      <c r="B9" s="56">
        <f>SUM(B1:B8)</f>
        <v>26959894</v>
      </c>
      <c r="C9" s="4"/>
      <c r="D9" s="4"/>
      <c r="E9" s="52">
        <v>45900.0</v>
      </c>
      <c r="F9" s="4" t="s">
        <v>135</v>
      </c>
    </row>
    <row r="10">
      <c r="A10" s="14" t="s">
        <v>25</v>
      </c>
      <c r="B10" s="5">
        <v>1.7E7</v>
      </c>
      <c r="C10" s="4"/>
      <c r="D10" s="4"/>
      <c r="E10" s="4"/>
      <c r="F10" s="4"/>
      <c r="G10" s="3">
        <f t="shared" ref="G10:H10" si="1">SUM(G1:G9)</f>
        <v>27000000</v>
      </c>
      <c r="H10" s="3">
        <f t="shared" si="1"/>
        <v>-27171812</v>
      </c>
      <c r="I10" s="3">
        <f>G10+H10</f>
        <v>-171812</v>
      </c>
    </row>
    <row r="11">
      <c r="A11" s="14" t="s">
        <v>26</v>
      </c>
      <c r="B11" s="3">
        <f>14000000-3000000</f>
        <v>11000000</v>
      </c>
      <c r="C11" s="4"/>
      <c r="D11" s="4"/>
      <c r="E11" s="4"/>
      <c r="F11" s="4"/>
    </row>
    <row r="12">
      <c r="A12" s="14" t="s">
        <v>27</v>
      </c>
      <c r="B12" s="14">
        <v>1.4E7</v>
      </c>
      <c r="C12" s="4"/>
      <c r="D12" s="4"/>
      <c r="E12" s="4"/>
      <c r="F12" s="4"/>
    </row>
    <row r="13">
      <c r="A13" s="14"/>
      <c r="B13" s="56">
        <f>SUM(B10:B12)-B9</f>
        <v>15040106</v>
      </c>
      <c r="C13" s="4"/>
      <c r="D13" s="4"/>
      <c r="E13" s="4"/>
      <c r="F13" s="4"/>
    </row>
    <row r="14">
      <c r="A14" s="14" t="s">
        <v>140</v>
      </c>
      <c r="B14" s="56"/>
      <c r="C14" s="4"/>
      <c r="D14" s="4"/>
      <c r="E14" s="4"/>
      <c r="F14" s="4"/>
    </row>
    <row r="15">
      <c r="A15" s="57"/>
      <c r="B15" s="5"/>
      <c r="C15" s="4"/>
      <c r="D15" s="4"/>
      <c r="E15" s="4"/>
      <c r="F15" s="4"/>
    </row>
    <row r="16">
      <c r="A16" s="14" t="s">
        <v>141</v>
      </c>
      <c r="B16" s="5">
        <f>B13-B14</f>
        <v>15040106</v>
      </c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6" width="14.43"/>
  </cols>
  <sheetData>
    <row r="1">
      <c r="A1" s="14" t="s">
        <v>112</v>
      </c>
      <c r="B1" s="3">
        <v>1.1189425E7</v>
      </c>
      <c r="C1" s="4"/>
      <c r="D1" s="4"/>
      <c r="E1" s="4"/>
      <c r="F1" s="4"/>
    </row>
    <row r="2">
      <c r="A2" s="14" t="s">
        <v>9</v>
      </c>
      <c r="B2" s="3">
        <v>0.0</v>
      </c>
      <c r="C2" s="4"/>
      <c r="D2" s="4"/>
      <c r="E2" s="4"/>
      <c r="F2" s="4"/>
    </row>
    <row r="3">
      <c r="A3" s="14" t="s">
        <v>128</v>
      </c>
      <c r="B3" s="3">
        <f>9804000+1690684</f>
        <v>11494684</v>
      </c>
      <c r="C3" s="4"/>
      <c r="D3" s="4"/>
      <c r="E3" s="4"/>
      <c r="F3" s="4"/>
    </row>
    <row r="4">
      <c r="A4" s="14"/>
      <c r="B4" s="3"/>
      <c r="C4" s="4"/>
      <c r="D4" s="4"/>
      <c r="E4" s="4"/>
      <c r="F4" s="4"/>
    </row>
    <row r="5">
      <c r="A5" s="14" t="s">
        <v>142</v>
      </c>
      <c r="B5" s="3">
        <v>1320000.0</v>
      </c>
      <c r="C5" s="4"/>
      <c r="D5" s="4"/>
      <c r="E5" s="4"/>
      <c r="F5" s="4"/>
    </row>
    <row r="6">
      <c r="A6" s="14" t="s">
        <v>69</v>
      </c>
      <c r="B6" s="3">
        <v>4500000.0</v>
      </c>
      <c r="C6" s="4"/>
      <c r="D6" s="4"/>
      <c r="E6" s="4"/>
      <c r="F6" s="4"/>
    </row>
    <row r="7">
      <c r="A7" s="14"/>
      <c r="B7" s="56">
        <f>SUM(B1:B6)</f>
        <v>28504109</v>
      </c>
      <c r="C7" s="4"/>
      <c r="D7" s="4"/>
      <c r="E7" s="4"/>
      <c r="F7" s="4"/>
    </row>
    <row r="8">
      <c r="A8" s="14" t="s">
        <v>25</v>
      </c>
      <c r="B8" s="5">
        <v>1.7E7</v>
      </c>
      <c r="C8" s="4"/>
      <c r="D8" s="4"/>
      <c r="E8" s="4"/>
      <c r="F8" s="4"/>
    </row>
    <row r="9">
      <c r="A9" s="14" t="s">
        <v>26</v>
      </c>
      <c r="B9" s="3"/>
      <c r="C9" s="4"/>
      <c r="D9" s="4"/>
      <c r="E9" s="4"/>
      <c r="F9" s="4"/>
    </row>
    <row r="10">
      <c r="A10" s="14" t="s">
        <v>27</v>
      </c>
      <c r="B10" s="14">
        <v>1.44E7</v>
      </c>
      <c r="C10" s="4"/>
      <c r="D10" s="4"/>
      <c r="E10" s="4"/>
      <c r="F10" s="4"/>
    </row>
    <row r="11">
      <c r="A11" s="14"/>
      <c r="B11" s="56">
        <f>B8-B7+B9+B10</f>
        <v>2895891</v>
      </c>
      <c r="C11" s="4"/>
      <c r="D11" s="4"/>
      <c r="E11" s="4"/>
      <c r="F11" s="4"/>
    </row>
    <row r="12">
      <c r="A12" s="14" t="s">
        <v>140</v>
      </c>
      <c r="B12" s="56"/>
      <c r="C12" s="4"/>
      <c r="D12" s="4"/>
      <c r="E12" s="4"/>
      <c r="F12" s="4"/>
    </row>
    <row r="13">
      <c r="A13" s="57"/>
      <c r="B13" s="5"/>
      <c r="C13" s="4"/>
      <c r="D13" s="4"/>
      <c r="E13" s="4"/>
      <c r="F13" s="4"/>
    </row>
    <row r="14">
      <c r="A14" s="14" t="s">
        <v>141</v>
      </c>
      <c r="B14" s="5">
        <f>B11-B12</f>
        <v>2895891</v>
      </c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5.43"/>
    <col customWidth="1" min="3" max="3" width="9.14"/>
    <col customWidth="1" min="4" max="4" width="15.57"/>
    <col customWidth="1" min="5" max="5" width="17.29"/>
    <col customWidth="1" min="6" max="6" width="20.14"/>
    <col customWidth="1" min="7" max="7" width="19.43"/>
    <col customWidth="1" min="8" max="8" width="27.86"/>
    <col customWidth="1" min="9" max="26" width="8.71"/>
  </cols>
  <sheetData>
    <row r="1">
      <c r="A1" s="14" t="s">
        <v>112</v>
      </c>
      <c r="B1" s="3">
        <f>6407967+4800000</f>
        <v>11207967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9</v>
      </c>
      <c r="B2" s="3">
        <v>0.0</v>
      </c>
      <c r="C2" s="58"/>
      <c r="D2" s="59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128</v>
      </c>
      <c r="B3" s="3">
        <v>1.1532757E7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143</v>
      </c>
      <c r="B5" s="3">
        <v>2000000.0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56">
        <f>SUM(B1:B5)</f>
        <v>24740724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 t="s">
        <v>25</v>
      </c>
      <c r="B7" s="5">
        <v>1.7E7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26</v>
      </c>
      <c r="B8" s="3">
        <f>11000000+25000000</f>
        <v>36000000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 t="s">
        <v>27</v>
      </c>
      <c r="B9" s="14">
        <v>1.06E7</v>
      </c>
      <c r="C9" s="14"/>
      <c r="D9" s="14"/>
      <c r="E9" s="14"/>
      <c r="F9" s="14"/>
      <c r="G9" s="14"/>
      <c r="H9" s="60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56">
        <f>B7-B6+B8+B9</f>
        <v>38859276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 t="s">
        <v>140</v>
      </c>
      <c r="B11" s="56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57"/>
      <c r="B12" s="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 t="s">
        <v>141</v>
      </c>
      <c r="B13" s="5">
        <f>B10-B11</f>
        <v>38859276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5"/>
      <c r="C16" s="14"/>
      <c r="D16" s="14" t="s">
        <v>144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5"/>
      <c r="C17" s="14"/>
      <c r="D17" s="14"/>
      <c r="E17" s="14"/>
      <c r="F17" s="14" t="s">
        <v>42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5.43"/>
    <col customWidth="1" min="3" max="3" width="9.14"/>
    <col customWidth="1" min="4" max="4" width="15.57"/>
    <col customWidth="1" min="5" max="5" width="17.29"/>
    <col customWidth="1" min="6" max="6" width="20.14"/>
    <col customWidth="1" min="7" max="26" width="8.71"/>
  </cols>
  <sheetData>
    <row r="1">
      <c r="A1" s="14" t="s">
        <v>112</v>
      </c>
      <c r="B1" s="3">
        <v>1.1440727E7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9</v>
      </c>
      <c r="B2" s="3">
        <v>0.0</v>
      </c>
      <c r="C2" s="58"/>
      <c r="D2" s="59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128</v>
      </c>
      <c r="B3" s="3">
        <v>1.0431E7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145</v>
      </c>
      <c r="B5" s="3">
        <v>500000.0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56">
        <f>SUM(B1:B5)</f>
        <v>22371727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 t="s">
        <v>25</v>
      </c>
      <c r="B7" s="5">
        <v>1.7E7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26</v>
      </c>
      <c r="B8" s="3">
        <v>9000000.0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 t="s">
        <v>146</v>
      </c>
      <c r="B9" s="3">
        <v>1.1E7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56">
        <f>B7-B6+B8+B9</f>
        <v>14628273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 t="s">
        <v>140</v>
      </c>
      <c r="B11" s="56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57"/>
      <c r="B12" s="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 t="s">
        <v>141</v>
      </c>
      <c r="B13" s="5">
        <f>B10-B11</f>
        <v>14628273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5"/>
      <c r="C16" s="14"/>
      <c r="D16" s="14" t="s">
        <v>144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5"/>
      <c r="C17" s="14"/>
      <c r="D17" s="14"/>
      <c r="E17" s="14"/>
      <c r="F17" s="14" t="s">
        <v>42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5.43"/>
    <col customWidth="1" min="3" max="3" width="9.14"/>
    <col customWidth="1" min="4" max="4" width="15.57"/>
    <col customWidth="1" min="5" max="5" width="13.43"/>
    <col customWidth="1" min="6" max="6" width="20.14"/>
    <col customWidth="1" min="7" max="26" width="8.71"/>
  </cols>
  <sheetData>
    <row r="1">
      <c r="A1" s="14" t="s">
        <v>112</v>
      </c>
      <c r="B1" s="3">
        <v>1.1459886E7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147</v>
      </c>
      <c r="B2" s="3">
        <f>1146575+211296</f>
        <v>1357871</v>
      </c>
      <c r="C2" s="58"/>
      <c r="D2" s="59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128</v>
      </c>
      <c r="B3" s="3">
        <f>50000+12179313</f>
        <v>12229313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">
        <v>148</v>
      </c>
      <c r="B4" s="3">
        <v>1070000.0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149</v>
      </c>
      <c r="B5" s="3">
        <v>1890000.0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56">
        <f>SUM(B1:B5)</f>
        <v>28007070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 t="s">
        <v>25</v>
      </c>
      <c r="B7" s="5">
        <v>1.7E7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26</v>
      </c>
      <c r="B8" s="3">
        <v>1.207E7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 t="s">
        <v>150</v>
      </c>
      <c r="B9" s="3">
        <v>1.1E7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56">
        <f>B7-B6+B8+B9</f>
        <v>12062930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 t="s">
        <v>140</v>
      </c>
      <c r="B11" s="56">
        <v>5000000.0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57" t="s">
        <v>151</v>
      </c>
      <c r="B12" s="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 t="s">
        <v>141</v>
      </c>
      <c r="B13" s="5">
        <f>B10-B11</f>
        <v>7062930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5"/>
      <c r="C16" s="14"/>
      <c r="D16" s="14" t="s">
        <v>144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5"/>
      <c r="C17" s="14"/>
      <c r="D17" s="14"/>
      <c r="E17" s="14"/>
      <c r="F17" s="14" t="s">
        <v>42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5.43"/>
    <col customWidth="1" min="3" max="3" width="9.14"/>
    <col customWidth="1" min="4" max="4" width="15.57"/>
    <col customWidth="1" min="5" max="5" width="13.43"/>
    <col customWidth="1" min="6" max="6" width="20.14"/>
    <col customWidth="1" min="7" max="26" width="8.71"/>
  </cols>
  <sheetData>
    <row r="1">
      <c r="A1" s="14" t="s">
        <v>112</v>
      </c>
      <c r="B1" s="3">
        <f>4800000+6032689</f>
        <v>10832689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147</v>
      </c>
      <c r="B2" s="61">
        <v>733961.0</v>
      </c>
      <c r="C2" s="58"/>
      <c r="D2" s="59"/>
      <c r="E2" s="14" t="s">
        <v>152</v>
      </c>
      <c r="F2" s="14">
        <v>6000000.0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128</v>
      </c>
      <c r="B3" s="3">
        <f>9510842+1420504</f>
        <v>10931346</v>
      </c>
      <c r="C3" s="14"/>
      <c r="D3" s="14"/>
      <c r="E3" s="14" t="s">
        <v>153</v>
      </c>
      <c r="F3" s="14">
        <v>1.1E7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5">
        <f>SUM(B1:B3)</f>
        <v>22497996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25</v>
      </c>
      <c r="B5" s="5">
        <v>1.7E7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 t="s">
        <v>154</v>
      </c>
      <c r="B6" s="5">
        <v>1.3600303E7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5">
        <f>B5-B4+B6</f>
        <v>8102307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57" t="s">
        <v>151</v>
      </c>
      <c r="B8" s="5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 t="s">
        <v>141</v>
      </c>
      <c r="B9" s="5">
        <f>B8+B7</f>
        <v>8102307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5"/>
      <c r="C12" s="14"/>
      <c r="D12" s="14" t="s">
        <v>144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5"/>
      <c r="C13" s="14"/>
      <c r="D13" s="14"/>
      <c r="E13" s="14"/>
      <c r="F13" s="14" t="s">
        <v>42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5.43"/>
    <col customWidth="1" min="3" max="3" width="9.14"/>
    <col customWidth="1" min="4" max="4" width="15.57"/>
    <col customWidth="1" min="5" max="5" width="13.43"/>
    <col customWidth="1" min="6" max="6" width="20.14"/>
    <col customWidth="1" min="7" max="26" width="8.71"/>
  </cols>
  <sheetData>
    <row r="1">
      <c r="A1" s="14" t="s">
        <v>112</v>
      </c>
      <c r="B1" s="3">
        <v>9553567.0</v>
      </c>
      <c r="C1" s="14"/>
      <c r="D1" s="14"/>
      <c r="E1" s="14" t="s">
        <v>155</v>
      </c>
      <c r="F1" s="14">
        <v>445000.0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147</v>
      </c>
      <c r="B2" s="61">
        <v>849852.0</v>
      </c>
      <c r="C2" s="58"/>
      <c r="D2" s="59"/>
      <c r="E2" s="14"/>
      <c r="F2" s="14">
        <v>670000.0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128</v>
      </c>
      <c r="B3" s="3">
        <v>5651859.0</v>
      </c>
      <c r="C3" s="14"/>
      <c r="D3" s="14"/>
      <c r="E3" s="14"/>
      <c r="F3" s="14">
        <v>40000.0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5">
        <f>SUM(B1:B3)</f>
        <v>16055278</v>
      </c>
      <c r="C4" s="14"/>
      <c r="D4" s="14"/>
      <c r="E4" s="14"/>
      <c r="F4" s="14">
        <v>286000.0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25</v>
      </c>
      <c r="B5" s="5">
        <v>1.7E7</v>
      </c>
      <c r="C5" s="14"/>
      <c r="D5" s="14"/>
      <c r="E5" s="14"/>
      <c r="F5" s="14">
        <v>120000.0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5">
        <f>B5-B4</f>
        <v>944722</v>
      </c>
      <c r="C6" s="14"/>
      <c r="D6" s="14"/>
      <c r="E6" s="14"/>
      <c r="F6" s="14">
        <v>100000.0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57" t="s">
        <v>151</v>
      </c>
      <c r="B7" s="5"/>
      <c r="C7" s="14"/>
      <c r="D7" s="14"/>
      <c r="E7" s="14"/>
      <c r="F7" s="14">
        <v>277000.0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141</v>
      </c>
      <c r="B8" s="5">
        <f>B7+B6</f>
        <v>944722</v>
      </c>
      <c r="C8" s="14"/>
      <c r="D8" s="14"/>
      <c r="E8" s="14"/>
      <c r="F8" s="14">
        <v>127000.0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5"/>
      <c r="C9" s="14"/>
      <c r="D9" s="14"/>
      <c r="E9" s="14"/>
      <c r="F9" s="14">
        <v>600000.0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5"/>
      <c r="C10" s="14"/>
      <c r="D10" s="14"/>
      <c r="E10" s="14"/>
      <c r="F10" s="14">
        <v>85000.0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5"/>
      <c r="C11" s="14"/>
      <c r="D11" s="14" t="s">
        <v>144</v>
      </c>
      <c r="E11" s="14"/>
      <c r="F11" s="14">
        <v>100000.0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5"/>
      <c r="C12" s="14"/>
      <c r="D12" s="14"/>
      <c r="E12" s="14"/>
      <c r="F12" s="14" t="s">
        <v>42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5.43"/>
    <col customWidth="1" min="3" max="3" width="9.14"/>
    <col customWidth="1" min="4" max="4" width="15.57"/>
    <col customWidth="1" min="5" max="5" width="13.43"/>
    <col customWidth="1" min="6" max="6" width="20.14"/>
    <col customWidth="1" min="7" max="7" width="19.43"/>
    <col customWidth="1" min="8" max="8" width="13.29"/>
    <col customWidth="1" min="9" max="26" width="8.71"/>
  </cols>
  <sheetData>
    <row r="1">
      <c r="A1" s="14" t="s">
        <v>112</v>
      </c>
      <c r="B1" s="3">
        <v>1.3466955E7</v>
      </c>
      <c r="C1" s="14"/>
      <c r="D1" s="14" t="s">
        <v>156</v>
      </c>
      <c r="E1" s="14">
        <v>700000.0</v>
      </c>
      <c r="F1" s="14"/>
      <c r="G1" s="14" t="s">
        <v>157</v>
      </c>
      <c r="H1" s="14">
        <v>80000.0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147</v>
      </c>
      <c r="B2" s="61">
        <v>1542796.0</v>
      </c>
      <c r="C2" s="58"/>
      <c r="D2" s="59"/>
      <c r="E2" s="14"/>
      <c r="F2" s="14"/>
      <c r="G2" s="14" t="s">
        <v>158</v>
      </c>
      <c r="H2" s="14">
        <f>55000*2</f>
        <v>110000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128</v>
      </c>
      <c r="B3" s="3">
        <v>9373388.0</v>
      </c>
      <c r="C3" s="14"/>
      <c r="D3" s="14" t="s">
        <v>159</v>
      </c>
      <c r="E3" s="14">
        <v>500000.0</v>
      </c>
      <c r="F3" s="14"/>
      <c r="G3" s="14" t="s">
        <v>160</v>
      </c>
      <c r="H3" s="14">
        <v>191000.0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5">
        <f>SUM(B1:B3)</f>
        <v>24383139</v>
      </c>
      <c r="C4" s="14"/>
      <c r="D4" s="14" t="s">
        <v>161</v>
      </c>
      <c r="E4" s="14">
        <v>1000000.0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25</v>
      </c>
      <c r="B5" s="5">
        <v>1.7E7</v>
      </c>
      <c r="C5" s="14"/>
      <c r="D5" s="14" t="s">
        <v>162</v>
      </c>
      <c r="E5" s="14">
        <v>760000.0</v>
      </c>
      <c r="F5" s="14"/>
      <c r="G5" s="14" t="s">
        <v>163</v>
      </c>
      <c r="H5" s="14">
        <v>500000.0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5">
        <f>B5-B4</f>
        <v>-7383139</v>
      </c>
      <c r="C6" s="14"/>
      <c r="D6" s="14" t="s">
        <v>164</v>
      </c>
      <c r="E6" s="14">
        <v>400000.0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57" t="s">
        <v>151</v>
      </c>
      <c r="B7" s="5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141</v>
      </c>
      <c r="B8" s="5">
        <f>B7+B6</f>
        <v>-7383139</v>
      </c>
      <c r="C8" s="14"/>
      <c r="D8" s="14"/>
      <c r="E8" s="14">
        <f>SUM(E1:E6)</f>
        <v>3360000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5"/>
      <c r="C11" s="14"/>
      <c r="D11" s="14" t="s">
        <v>144</v>
      </c>
      <c r="E11" s="14"/>
      <c r="F11" s="14"/>
      <c r="G11" s="14"/>
      <c r="H11" s="14">
        <f>SUM(H1:H10)</f>
        <v>881000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5"/>
      <c r="C12" s="14"/>
      <c r="D12" s="14"/>
      <c r="E12" s="14"/>
      <c r="F12" s="14" t="s">
        <v>42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5.43"/>
    <col customWidth="1" min="3" max="3" width="9.14"/>
    <col customWidth="1" min="4" max="4" width="9.86"/>
    <col customWidth="1" min="5" max="5" width="13.43"/>
    <col customWidth="1" min="6" max="6" width="14.29"/>
    <col customWidth="1" min="7" max="26" width="8.71"/>
  </cols>
  <sheetData>
    <row r="1">
      <c r="A1" s="14" t="s">
        <v>112</v>
      </c>
      <c r="B1" s="5">
        <v>1.1319221E7</v>
      </c>
      <c r="C1" s="14"/>
      <c r="D1" s="14" t="s">
        <v>122</v>
      </c>
      <c r="E1" s="14">
        <v>1000000.0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147</v>
      </c>
      <c r="B2" s="62">
        <v>1158904.0</v>
      </c>
      <c r="C2" s="58"/>
      <c r="D2" s="59" t="s">
        <v>165</v>
      </c>
      <c r="E2" s="14">
        <v>4500000.0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128</v>
      </c>
      <c r="B3" s="5">
        <v>7485855.0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5">
        <f>SUM(B1:B3)</f>
        <v>19963980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25</v>
      </c>
      <c r="B5" s="5">
        <v>1.7E7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5">
        <f>B5-B4</f>
        <v>-2963980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57" t="s">
        <v>151</v>
      </c>
      <c r="B7" s="5">
        <f>1352380+1469566</f>
        <v>2821946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141</v>
      </c>
      <c r="B8" s="5">
        <f>B7+B6</f>
        <v>-142034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5"/>
      <c r="C12" s="14"/>
      <c r="D12" s="14"/>
      <c r="E12" s="14"/>
      <c r="F12" s="14" t="s">
        <v>42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5.43"/>
    <col customWidth="1" min="3" max="3" width="9.14"/>
    <col customWidth="1" min="4" max="4" width="9.86"/>
    <col customWidth="1" min="5" max="5" width="9.14"/>
    <col customWidth="1" min="6" max="6" width="14.29"/>
    <col customWidth="1" min="7" max="26" width="8.71"/>
  </cols>
  <sheetData>
    <row r="1">
      <c r="A1" s="14" t="s">
        <v>112</v>
      </c>
      <c r="B1" s="5">
        <v>1.155569E7</v>
      </c>
      <c r="C1" s="14"/>
      <c r="D1" s="14"/>
      <c r="E1" s="6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147</v>
      </c>
      <c r="B2" s="62">
        <v>1197534.0</v>
      </c>
      <c r="C2" s="58"/>
      <c r="D2" s="59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128</v>
      </c>
      <c r="B3" s="5">
        <v>7889982.0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5">
        <f>SUM(B1:B3)</f>
        <v>20643206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25</v>
      </c>
      <c r="B5" s="5">
        <v>1.7E7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5">
        <f>B5-B4</f>
        <v>-3643206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57" t="s">
        <v>166</v>
      </c>
      <c r="B7" s="5">
        <v>1.2E7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141</v>
      </c>
      <c r="B8" s="5">
        <f>B7+B6</f>
        <v>8356794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5"/>
      <c r="C12" s="14"/>
      <c r="D12" s="14"/>
      <c r="E12" s="14"/>
      <c r="F12" s="14" t="s">
        <v>42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5.43"/>
    <col customWidth="1" min="3" max="3" width="9.14"/>
    <col customWidth="1" min="4" max="4" width="9.86"/>
    <col customWidth="1" min="5" max="5" width="9.14"/>
    <col customWidth="1" min="6" max="6" width="14.29"/>
    <col customWidth="1" min="7" max="26" width="8.71"/>
  </cols>
  <sheetData>
    <row r="1">
      <c r="A1" s="14" t="s">
        <v>112</v>
      </c>
      <c r="B1" s="14">
        <v>1.1356307E7</v>
      </c>
      <c r="C1" s="14"/>
      <c r="D1" s="14" t="s">
        <v>167</v>
      </c>
      <c r="E1" s="64" t="s">
        <v>168</v>
      </c>
      <c r="F1" s="14">
        <v>20000.0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147</v>
      </c>
      <c r="B2" s="58">
        <v>1158034.0</v>
      </c>
      <c r="C2" s="58"/>
      <c r="D2" s="59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169</v>
      </c>
      <c r="B3" s="14">
        <f>1540556+464049</f>
        <v>2004605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">
        <v>128</v>
      </c>
      <c r="B4" s="14">
        <f>69323+1143168</f>
        <v>1212491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87</v>
      </c>
      <c r="B5" s="14">
        <v>700000.0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>
        <f>SUM(B1:B5)</f>
        <v>16431437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 t="s">
        <v>25</v>
      </c>
      <c r="B7" s="14">
        <v>1.7E7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>
        <f>B7-B6-SUM(F:F)</f>
        <v>548563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4.29"/>
    <col customWidth="1" min="3" max="6" width="8.71"/>
  </cols>
  <sheetData>
    <row r="1">
      <c r="A1" s="4" t="s">
        <v>170</v>
      </c>
      <c r="B1" s="14">
        <v>5000000.0</v>
      </c>
      <c r="C1" s="4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171</v>
      </c>
      <c r="B2" s="14">
        <v>700000.0</v>
      </c>
      <c r="C2" s="4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172</v>
      </c>
      <c r="B3" s="14">
        <v>1200000.0</v>
      </c>
      <c r="C3" s="4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173</v>
      </c>
      <c r="B4" s="14">
        <v>100000.0</v>
      </c>
      <c r="C4" s="4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174</v>
      </c>
      <c r="B5" s="14">
        <v>1.0E7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4">
        <f>SUM(B1:B5)</f>
        <v>17000000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14"/>
      <c r="C7" s="4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14"/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14"/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14"/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1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14"/>
      <c r="C12" s="4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14"/>
      <c r="C13" s="4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14"/>
      <c r="C14" s="4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14"/>
      <c r="C15" s="4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4"/>
      <c r="C16" s="4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4"/>
      <c r="C17" s="4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14"/>
      <c r="C18" s="4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4"/>
      <c r="C19" s="4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14"/>
      <c r="C20" s="4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14"/>
      <c r="C21" s="4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14"/>
      <c r="C22" s="4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14"/>
      <c r="C23" s="4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14"/>
      <c r="C24" s="4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14"/>
      <c r="C25" s="4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14"/>
      <c r="C26" s="4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14"/>
      <c r="C27" s="4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14"/>
      <c r="C28" s="4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14"/>
      <c r="C29" s="4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14"/>
      <c r="C30" s="4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14"/>
      <c r="C31" s="4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14"/>
      <c r="C32" s="4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14"/>
      <c r="C33" s="4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14"/>
      <c r="C34" s="4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14"/>
      <c r="C35" s="4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14"/>
      <c r="C36" s="4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14"/>
      <c r="C37" s="4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14"/>
      <c r="C38" s="4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14"/>
      <c r="C39" s="4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14"/>
      <c r="C40" s="4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14"/>
      <c r="C41" s="4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14"/>
      <c r="C42" s="4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14"/>
      <c r="C43" s="4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14"/>
      <c r="C44" s="4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14"/>
      <c r="C45" s="4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14"/>
      <c r="C46" s="4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14"/>
      <c r="C47" s="4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14"/>
      <c r="C48" s="4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14"/>
      <c r="C49" s="4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14"/>
      <c r="C50" s="4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14"/>
      <c r="C51" s="4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14"/>
      <c r="C52" s="4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14"/>
      <c r="C53" s="4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14"/>
      <c r="C54" s="4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14"/>
      <c r="C55" s="4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14"/>
      <c r="C56" s="4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14"/>
      <c r="C57" s="4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14"/>
      <c r="C58" s="4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14"/>
      <c r="C59" s="4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14"/>
      <c r="C60" s="4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14"/>
      <c r="C61" s="4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14"/>
      <c r="C62" s="4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14"/>
      <c r="C63" s="4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14"/>
      <c r="C64" s="4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14"/>
      <c r="C65" s="4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14"/>
      <c r="C66" s="4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14"/>
      <c r="C67" s="4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14"/>
      <c r="C68" s="4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14"/>
      <c r="C69" s="4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14"/>
      <c r="C70" s="4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14"/>
      <c r="C71" s="4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14"/>
      <c r="C72" s="4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14"/>
      <c r="C73" s="4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4"/>
      <c r="C74" s="4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14"/>
      <c r="C75" s="4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14"/>
      <c r="C76" s="4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14"/>
      <c r="C77" s="4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14"/>
      <c r="C78" s="4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14"/>
      <c r="C79" s="4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14"/>
      <c r="C80" s="4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14"/>
      <c r="C81" s="4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14"/>
      <c r="C82" s="4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14"/>
      <c r="C83" s="4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4"/>
      <c r="C84" s="4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4"/>
      <c r="C85" s="4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14"/>
      <c r="C86" s="4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1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14"/>
      <c r="C88" s="4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14"/>
      <c r="C89" s="4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14"/>
      <c r="C90" s="4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14"/>
      <c r="C91" s="4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4"/>
      <c r="C92" s="4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14"/>
      <c r="C93" s="4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4"/>
      <c r="C94" s="4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14"/>
      <c r="C95" s="4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4"/>
      <c r="C96" s="4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14"/>
      <c r="C97" s="4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4"/>
      <c r="C98" s="4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14"/>
      <c r="C99" s="4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14"/>
      <c r="C100" s="4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14"/>
      <c r="C101" s="4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14"/>
      <c r="C102" s="4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14"/>
      <c r="C103" s="4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14"/>
      <c r="C104" s="4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14"/>
      <c r="C105" s="4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14"/>
      <c r="C106" s="4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14"/>
      <c r="C107" s="4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14"/>
      <c r="C108" s="4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14"/>
      <c r="C109" s="4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14"/>
      <c r="C110" s="4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14"/>
      <c r="C111" s="4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14"/>
      <c r="C112" s="4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14"/>
      <c r="C113" s="4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14"/>
      <c r="C114" s="4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14"/>
      <c r="C115" s="4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14"/>
      <c r="C116" s="4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14"/>
      <c r="C117" s="4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14"/>
      <c r="C118" s="4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14"/>
      <c r="C119" s="4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14"/>
      <c r="C120" s="4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14"/>
      <c r="C121" s="4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14"/>
      <c r="C122" s="4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14"/>
      <c r="C123" s="4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14"/>
      <c r="C124" s="4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14"/>
      <c r="C125" s="4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14"/>
      <c r="C126" s="4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14"/>
      <c r="C127" s="4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14"/>
      <c r="C128" s="4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14"/>
      <c r="C129" s="4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14"/>
      <c r="C130" s="4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14"/>
      <c r="C131" s="4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14"/>
      <c r="C132" s="4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14"/>
      <c r="C133" s="4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14"/>
      <c r="C134" s="4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14"/>
      <c r="C135" s="4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14"/>
      <c r="C136" s="4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14"/>
      <c r="C137" s="4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14"/>
      <c r="C138" s="4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14"/>
      <c r="C139" s="4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14"/>
      <c r="C140" s="4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14"/>
      <c r="C141" s="4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14"/>
      <c r="C142" s="4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4"/>
      <c r="C143" s="4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14"/>
      <c r="C144" s="4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14"/>
      <c r="C145" s="4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14"/>
      <c r="C146" s="4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14"/>
      <c r="C147" s="4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14"/>
      <c r="C148" s="4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14"/>
      <c r="C149" s="4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14"/>
      <c r="C150" s="4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14"/>
      <c r="C151" s="4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14"/>
      <c r="C152" s="4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14"/>
      <c r="C153" s="4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14"/>
      <c r="C154" s="4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14"/>
      <c r="C155" s="4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14"/>
      <c r="C156" s="4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14"/>
      <c r="C157" s="4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14"/>
      <c r="C158" s="4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14"/>
      <c r="C159" s="4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14"/>
      <c r="C160" s="4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14"/>
      <c r="C161" s="4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14"/>
      <c r="C162" s="4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14"/>
      <c r="C163" s="4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14"/>
      <c r="C164" s="4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14"/>
      <c r="C165" s="4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14"/>
      <c r="C166" s="4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14"/>
      <c r="C167" s="4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14"/>
      <c r="C168" s="4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14"/>
      <c r="C169" s="4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14"/>
      <c r="C170" s="4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14"/>
      <c r="C171" s="4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14"/>
      <c r="C172" s="4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14"/>
      <c r="C173" s="4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14"/>
      <c r="C174" s="4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14"/>
      <c r="C175" s="4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14"/>
      <c r="C176" s="4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14"/>
      <c r="C177" s="4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14"/>
      <c r="C178" s="4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14"/>
      <c r="C179" s="4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14"/>
      <c r="C180" s="4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14"/>
      <c r="C181" s="4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14"/>
      <c r="C182" s="4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14"/>
      <c r="C183" s="4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14"/>
      <c r="C184" s="4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14"/>
      <c r="C185" s="4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14"/>
      <c r="C186" s="4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14"/>
      <c r="C187" s="4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14"/>
      <c r="C188" s="4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14"/>
      <c r="C189" s="4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14"/>
      <c r="C190" s="4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14"/>
      <c r="C191" s="4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14"/>
      <c r="C192" s="4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14"/>
      <c r="C193" s="4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14"/>
      <c r="C194" s="4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14"/>
      <c r="C195" s="4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14"/>
      <c r="C196" s="4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14"/>
      <c r="C197" s="4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14"/>
      <c r="C198" s="4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14"/>
      <c r="C199" s="4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14"/>
      <c r="C200" s="4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14"/>
      <c r="C201" s="4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14"/>
      <c r="C202" s="4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14"/>
      <c r="C203" s="4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14"/>
      <c r="C204" s="4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14"/>
      <c r="C205" s="4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14"/>
      <c r="C206" s="4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14"/>
      <c r="C207" s="4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14"/>
      <c r="C208" s="4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14"/>
      <c r="C209" s="4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14"/>
      <c r="C210" s="4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14"/>
      <c r="C211" s="4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14"/>
      <c r="C212" s="4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14"/>
      <c r="C213" s="4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14"/>
      <c r="C214" s="4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14"/>
      <c r="C215" s="4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14"/>
      <c r="C216" s="4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14"/>
      <c r="C217" s="4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14"/>
      <c r="C218" s="4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14"/>
      <c r="C219" s="4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14"/>
      <c r="C220" s="4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2026-01-19T08:44:46Z</dcterms:created>
  <dc:creator>openpyxl</dc:creator>
</cp:coreProperties>
</file>